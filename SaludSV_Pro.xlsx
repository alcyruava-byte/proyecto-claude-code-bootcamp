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🏥 INICIO" sheetId="1" state="visible" r:id="rId1"/>
    <sheet name="📅 CITAS MÉDICAS" sheetId="2" state="visible" r:id="rId2"/>
    <sheet name="_aux_listas" sheetId="3" state="hidden" r:id="rId3"/>
    <sheet name="💊 MEDICAMENTOS" sheetId="4" state="visible" r:id="rId4"/>
    <sheet name="💪 EJERCICIOS" sheetId="5" state="visible" r:id="rId5"/>
    <sheet name="🥗 DIETA" sheetId="6" state="visible" r:id="rId6"/>
    <sheet name="📋 HISTORIAL" sheetId="7" state="visible" r:id="rId7"/>
    <sheet name="📖 INSTRUCCIONES" sheetId="8" state="visible" r:id="rId8"/>
  </sheets>
  <definedNames>
    <definedName name="_xlnm._FilterDatabase" localSheetId="1" hidden="1">'📅 CITAS MÉDICAS'!$A$4:$K$4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$&quot;#,##0.00"/>
    <numFmt numFmtId="167" formatCode="#,##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C3E50"/>
      <sz val="11"/>
    </font>
    <font>
      <name val="Calibri"/>
      <color rgb="002C3E50"/>
      <sz val="11"/>
    </font>
    <font>
      <name val="Calibri"/>
      <b val="1"/>
      <color rgb="002C3E50"/>
      <sz val="10"/>
    </font>
    <font>
      <name val="Calibri"/>
      <color rgb="002C3E50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i val="1"/>
      <color rgb="007F8C8D"/>
      <sz val="10"/>
    </font>
    <font>
      <name val="Calibri"/>
      <b val="1"/>
      <color rgb="008E44AD"/>
      <sz val="11"/>
    </font>
    <font>
      <name val="Calibri"/>
      <b val="1"/>
      <color rgb="001B6B3A"/>
      <sz val="14"/>
    </font>
    <font>
      <name val="Calibri"/>
      <b val="1"/>
      <color rgb="00FFFFFF"/>
      <sz val="20"/>
    </font>
    <font>
      <name val="Calibri"/>
      <b val="1"/>
      <color rgb="00FFFFFF"/>
      <sz val="13"/>
    </font>
    <font>
      <name val="Calibri"/>
      <i val="1"/>
      <color rgb="002C3E50"/>
      <sz val="11"/>
    </font>
    <font>
      <name val="Calibri"/>
      <b val="1"/>
      <color rgb="00FFFFFF"/>
      <sz val="10"/>
    </font>
    <font>
      <name val="Calibri"/>
      <b val="1"/>
      <color rgb="001E8449"/>
      <sz val="10"/>
    </font>
    <font>
      <name val="Calibri"/>
      <b val="1"/>
      <color rgb="00922B21"/>
      <sz val="10"/>
    </font>
    <font>
      <name val="Calibri"/>
      <b val="1"/>
      <color rgb="00935116"/>
      <sz val="10"/>
    </font>
    <font>
      <name val="Calibri"/>
      <b val="1"/>
      <color rgb="009A7D0A"/>
      <sz val="10"/>
    </font>
    <font>
      <name val="Calibri"/>
      <b val="1"/>
      <color rgb="00717D7E"/>
      <sz val="10"/>
    </font>
    <font>
      <name val="Calibri"/>
      <b val="1"/>
      <color rgb="001A5276"/>
      <sz val="10"/>
    </font>
    <font>
      <name val="Calibri"/>
      <b val="1"/>
      <color rgb="00F39C12"/>
      <sz val="10"/>
    </font>
    <font>
      <name val="Calibri"/>
      <i val="1"/>
      <color rgb="00A9DFBF"/>
      <sz val="9"/>
    </font>
  </fonts>
  <fills count="28">
    <fill>
      <patternFill/>
    </fill>
    <fill>
      <patternFill patternType="gray125"/>
    </fill>
    <fill>
      <patternFill patternType="solid">
        <fgColor rgb="001B6B3A"/>
        <bgColor rgb="001B6B3A"/>
      </patternFill>
    </fill>
    <fill>
      <patternFill patternType="solid">
        <fgColor rgb="000F4C8A"/>
        <bgColor rgb="000F4C8A"/>
      </patternFill>
    </fill>
    <fill>
      <patternFill patternType="solid">
        <fgColor rgb="00ECF0F1"/>
        <bgColor rgb="00ECF0F1"/>
      </patternFill>
    </fill>
    <fill>
      <patternFill patternType="solid">
        <fgColor rgb="00FFFFFF"/>
        <bgColor rgb="00FFFFFF"/>
      </patternFill>
    </fill>
    <fill>
      <patternFill patternType="solid">
        <fgColor rgb="00C0392B"/>
        <bgColor rgb="00C0392B"/>
      </patternFill>
    </fill>
    <fill>
      <patternFill patternType="solid">
        <fgColor rgb="00FEF9E7"/>
        <bgColor rgb="00FEF9E7"/>
      </patternFill>
    </fill>
    <fill>
      <patternFill patternType="solid">
        <fgColor rgb="00E74C3C"/>
        <bgColor rgb="00E74C3C"/>
      </patternFill>
    </fill>
    <fill>
      <patternFill patternType="solid">
        <fgColor rgb="00F8F9FA"/>
        <bgColor rgb="00F8F9FA"/>
      </patternFill>
    </fill>
    <fill>
      <patternFill patternType="solid">
        <fgColor rgb="008E44AD"/>
        <bgColor rgb="008E44AD"/>
      </patternFill>
    </fill>
    <fill>
      <patternFill patternType="solid">
        <fgColor rgb="00EBF5FB"/>
        <bgColor rgb="00EBF5FB"/>
      </patternFill>
    </fill>
    <fill>
      <patternFill patternType="solid">
        <fgColor rgb="00F0F3F4"/>
        <bgColor rgb="00F0F3F4"/>
      </patternFill>
    </fill>
    <fill>
      <patternFill patternType="solid">
        <fgColor rgb="00FDFEFE"/>
        <bgColor rgb="00FDFEFE"/>
      </patternFill>
    </fill>
    <fill>
      <patternFill patternType="solid">
        <fgColor rgb="006C3483"/>
        <bgColor rgb="006C3483"/>
      </patternFill>
    </fill>
    <fill>
      <patternFill patternType="solid">
        <fgColor rgb="0027AE60"/>
        <bgColor rgb="0027AE60"/>
      </patternFill>
    </fill>
    <fill>
      <patternFill patternType="solid">
        <fgColor rgb="001E8449"/>
        <bgColor rgb="001E8449"/>
      </patternFill>
    </fill>
    <fill>
      <patternFill patternType="solid">
        <fgColor rgb="001A5276"/>
        <bgColor rgb="001A5276"/>
      </patternFill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17A65"/>
        <bgColor rgb="00117A65"/>
      </patternFill>
    </fill>
    <fill>
      <patternFill patternType="solid">
        <fgColor rgb="00922B21"/>
        <bgColor rgb="00922B21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D5DBDB"/>
        <bgColor rgb="00D5DBDB"/>
      </patternFill>
    </fill>
    <fill>
      <patternFill patternType="solid">
        <fgColor rgb="00D6EAF8"/>
        <bgColor rgb="00D6EAF8"/>
      </patternFill>
    </fill>
    <fill>
      <patternFill patternType="solid">
        <fgColor rgb="002E86C1"/>
        <bgColor rgb="002E86C1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 style="thin">
        <color rgb="002E86C1"/>
      </left>
      <right style="thin">
        <color rgb="002E86C1"/>
      </right>
      <top style="thin">
        <color rgb="002E86C1"/>
      </top>
      <bottom/>
    </border>
    <border>
      <left style="thin">
        <color rgb="002E86C1"/>
      </left>
      <right style="thin">
        <color rgb="002E86C1"/>
      </right>
      <top/>
      <bottom/>
    </border>
    <border>
      <left style="thin">
        <color rgb="002E86C1"/>
      </left>
      <right style="thin">
        <color rgb="002E86C1"/>
      </right>
      <top/>
      <bottom style="thin">
        <color rgb="002E86C1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4" fillId="7" borderId="3" applyAlignment="1" pivotButton="0" quotePrefix="0" xfId="0">
      <alignment horizontal="right" vertical="center"/>
    </xf>
    <xf numFmtId="0" fontId="5" fillId="7" borderId="3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0" fillId="5" borderId="2" pivotButton="0" quotePrefix="0" xfId="0"/>
    <xf numFmtId="0" fontId="0" fillId="9" borderId="2" pivotButton="0" quotePrefix="0" xfId="0"/>
    <xf numFmtId="0" fontId="1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165" fontId="3" fillId="9" borderId="2" applyAlignment="1" pivotButton="0" quotePrefix="0" xfId="0">
      <alignment horizontal="center" vertical="center"/>
    </xf>
    <xf numFmtId="4" fontId="3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4" fontId="3" fillId="5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7" fillId="6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8" fillId="11" borderId="4" applyAlignment="1" pivotButton="0" quotePrefix="0" xfId="0">
      <alignment horizontal="left" vertical="center"/>
    </xf>
    <xf numFmtId="0" fontId="4" fillId="12" borderId="4" applyAlignment="1" pivotButton="0" quotePrefix="0" xfId="0">
      <alignment horizontal="center" vertical="center"/>
    </xf>
    <xf numFmtId="0" fontId="8" fillId="12" borderId="4" applyAlignment="1" pivotButton="0" quotePrefix="0" xfId="0">
      <alignment horizontal="left" vertical="center"/>
    </xf>
    <xf numFmtId="0" fontId="4" fillId="13" borderId="4" applyAlignment="1" pivotButton="0" quotePrefix="0" xfId="0">
      <alignment horizontal="left" vertical="center"/>
    </xf>
    <xf numFmtId="0" fontId="8" fillId="13" borderId="4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/>
    </xf>
    <xf numFmtId="165" fontId="3" fillId="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 wrapText="1"/>
    </xf>
    <xf numFmtId="0" fontId="10" fillId="5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3" fontId="3" fillId="9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167" fontId="3" fillId="5" borderId="2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167" fontId="3" fillId="9" borderId="2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0" fontId="3" fillId="9" borderId="2" pivotButton="0" quotePrefix="0" xfId="0"/>
    <xf numFmtId="0" fontId="3" fillId="5" borderId="2" pivotButton="0" quotePrefix="0" xfId="0"/>
    <xf numFmtId="0" fontId="11" fillId="18" borderId="0" applyAlignment="1" pivotButton="0" quotePrefix="0" xfId="0">
      <alignment horizontal="center" vertical="center" wrapText="1"/>
    </xf>
    <xf numFmtId="0" fontId="12" fillId="1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left" vertical="center" wrapText="1"/>
    </xf>
    <xf numFmtId="0" fontId="14" fillId="19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16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9" fillId="2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20" fillId="26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/>
    </xf>
    <xf numFmtId="0" fontId="12" fillId="27" borderId="0" applyAlignment="1" pivotButton="0" quotePrefix="0" xfId="0">
      <alignment horizontal="left" vertical="center" wrapText="1"/>
    </xf>
    <xf numFmtId="0" fontId="3" fillId="11" borderId="5" applyAlignment="1" pivotButton="0" quotePrefix="0" xfId="0">
      <alignment horizontal="left" vertical="center" wrapText="1"/>
    </xf>
    <xf numFmtId="0" fontId="3" fillId="11" borderId="6" applyAlignment="1" pivotButton="0" quotePrefix="0" xfId="0">
      <alignment horizontal="left" vertical="center" wrapText="1"/>
    </xf>
    <xf numFmtId="0" fontId="3" fillId="11" borderId="7" applyAlignment="1" pivotButton="0" quotePrefix="0" xfId="0">
      <alignment horizontal="left" vertical="center" wrapText="1"/>
    </xf>
    <xf numFmtId="0" fontId="14" fillId="18" borderId="0" applyAlignment="1" pivotButton="0" quotePrefix="0" xfId="0">
      <alignment horizontal="center" vertical="center" wrapText="1"/>
    </xf>
    <xf numFmtId="0" fontId="22" fillId="19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Calibri"/>
        <color rgb="009A7D0A"/>
        <sz val="11"/>
      </font>
      <fill>
        <patternFill patternType="solid">
          <fgColor rgb="00FEF9E7"/>
          <bgColor rgb="00FEF9E7"/>
        </patternFill>
      </fill>
    </dxf>
    <dxf>
      <font>
        <name val="Calibri"/>
        <color rgb="00935116"/>
        <sz val="11"/>
      </font>
      <fill>
        <patternFill patternType="solid">
          <fgColor rgb="00FDEBD0"/>
          <bgColor rgb="00FDEBD0"/>
        </patternFill>
      </fill>
    </dxf>
    <dxf>
      <font>
        <name val="Calibri"/>
        <color rgb="001E8449"/>
        <sz val="11"/>
      </font>
      <fill>
        <patternFill patternType="solid">
          <fgColor rgb="00D5F5E3"/>
          <bgColor rgb="00D5F5E3"/>
        </patternFill>
      </fill>
    </dxf>
    <dxf>
      <font>
        <name val="Calibri"/>
        <color rgb="00717D7E"/>
        <sz val="11"/>
      </font>
      <fill>
        <patternFill patternType="solid">
          <fgColor rgb="00D5DBDB"/>
          <bgColor rgb="00D5DBDB"/>
        </patternFill>
      </fill>
    </dxf>
    <dxf>
      <font>
        <name val="Calibri"/>
        <color rgb="00922B21"/>
        <sz val="11"/>
      </font>
      <fill>
        <patternFill patternType="solid">
          <fgColor rgb="00FADBD8"/>
          <bgColor rgb="00FADBD8"/>
        </patternFill>
      </fill>
    </dxf>
    <dxf>
      <font>
        <name val="Calibri"/>
        <b val="1"/>
        <color rgb="00FFFFFF"/>
        <sz val="11"/>
      </font>
      <fill>
        <patternFill patternType="solid">
          <fgColor rgb="00C0392B"/>
          <bgColor rgb="00C0392B"/>
        </patternFill>
      </fill>
    </dxf>
    <dxf>
      <font>
        <name val="Calibri"/>
        <b val="1"/>
        <color rgb="00922B21"/>
        <sz val="11"/>
      </font>
      <fill>
        <patternFill patternType="solid">
          <fgColor rgb="00FADBD8"/>
          <bgColor rgb="00FADBD8"/>
        </patternFill>
      </fill>
    </dxf>
    <dxf>
      <font>
        <name val="Calibri"/>
        <b val="1"/>
        <color rgb="00FFFFFF"/>
        <sz val="11"/>
      </font>
      <fill>
        <patternFill patternType="solid">
          <fgColor rgb="00E67E22"/>
          <bgColor rgb="00E67E22"/>
        </patternFill>
      </fill>
    </dxf>
    <dxf>
      <font>
        <name val="Calibr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Calibri"/>
        <b val="1"/>
        <color rgb="001A5276"/>
        <sz val="11"/>
      </font>
      <fill>
        <patternFill patternType="solid">
          <fgColor rgb="00D6EAF8"/>
          <bgColor rgb="00D6EAF8"/>
        </patternFill>
      </fill>
    </dxf>
    <dxf>
      <font>
        <name val="Calibri"/>
        <b val="1"/>
        <color rgb="001E8449"/>
        <sz val="11"/>
      </font>
      <fill>
        <patternFill patternType="solid">
          <fgColor rgb="00D5F5E3"/>
          <bgColor rgb="00D5F5E3"/>
        </patternFill>
      </fill>
    </dxf>
    <dxf>
      <font>
        <name val="Calibri"/>
        <b val="1"/>
        <color rgb="009A7D0A"/>
        <sz val="11"/>
      </font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6B3A"/>
    <outlinePr summaryBelow="1" summaryRight="1"/>
    <pageSetUpPr/>
  </sheetPr>
  <dimension ref="A1:H2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25" customHeight="1">
      <c r="A1" s="1" t="inlineStr">
        <is>
          <r>
            <rPr>
              <rFont val="Calibri"/>
              <b val="1"/>
              <color rgb="00FFFFFF"/>
              <sz val="22"/>
            </rPr>
            <t>SaludSV Pro</t>
          </r>
          <r>
            <t>
</t>
          </r>
          <r>
            <rPr>
              <rFont val="Calibri"/>
              <color rgb="00A9DFBF"/>
              <sz val="12"/>
            </rPr>
            <t>Tu Organizador Personal de Salud</t>
          </r>
        </is>
      </c>
    </row>
    <row r="2" ht="25" customHeight="1"/>
    <row r="3" ht="25" customHeight="1"/>
    <row r="4" ht="6" customHeight="1"/>
    <row r="5" ht="28" customHeight="1">
      <c r="A5" s="2" t="inlineStr">
        <is>
          <t>DATOS DEL PACIENTE</t>
        </is>
      </c>
      <c r="E5" s="3" t="n"/>
      <c r="F5" s="4" t="inlineStr">
        <is>
          <t>ALERTAS ACTIVAS</t>
        </is>
      </c>
    </row>
    <row r="6" ht="22" customHeight="1">
      <c r="A6" s="5" t="inlineStr">
        <is>
          <t>Nombre completo:</t>
        </is>
      </c>
      <c r="B6" s="6" t="n"/>
      <c r="E6" s="3" t="n"/>
      <c r="F6" s="7" t="inlineStr">
        <is>
          <t>Próxima cita:</t>
        </is>
      </c>
      <c r="G6" s="8">
        <f>'📅 CITAS MÉDICAS'!B5</f>
        <v/>
      </c>
    </row>
    <row r="7" ht="22" customHeight="1">
      <c r="A7" s="5" t="inlineStr">
        <is>
          <t>Fecha de nacimiento:</t>
        </is>
      </c>
      <c r="B7" s="6" t="n"/>
      <c r="E7" s="3" t="n"/>
    </row>
    <row r="8" ht="22" customHeight="1">
      <c r="A8" s="5" t="inlineStr">
        <is>
          <t>Edad:</t>
        </is>
      </c>
      <c r="B8" s="6">
        <f>SI(B7="","",SIFECHA(B7,HOY(),"Y")&amp;" años")</f>
        <v/>
      </c>
      <c r="E8" s="3" t="n"/>
      <c r="F8" s="7" t="inlineStr">
        <is>
          <t>Medicamentos a refill:</t>
        </is>
      </c>
      <c r="G8" s="8">
        <f>CONTAR.SI('💊 MEDICAMENTOS'!K5:K54,"&lt;=3")&amp;" medicamento(s)"</f>
        <v/>
      </c>
    </row>
    <row r="9" ht="22" customHeight="1">
      <c r="A9" s="5" t="inlineStr">
        <is>
          <t>Tipo de sangre:</t>
        </is>
      </c>
      <c r="B9" s="6" t="n"/>
      <c r="E9" s="3" t="n"/>
    </row>
    <row r="10" ht="22" customHeight="1">
      <c r="A10" s="5" t="inlineStr">
        <is>
          <t>Teléfono personal:</t>
        </is>
      </c>
      <c r="B10" s="6" t="n"/>
      <c r="E10" s="3" t="n"/>
      <c r="F10" s="7" t="inlineStr">
        <is>
          <t>Cambio de rutina en:</t>
        </is>
      </c>
      <c r="G10" s="8">
        <f>'💪 EJERCICIOS'!B9</f>
        <v/>
      </c>
    </row>
    <row r="11" ht="22" customHeight="1">
      <c r="A11" s="5" t="inlineStr">
        <is>
          <t>Dirección:</t>
        </is>
      </c>
      <c r="B11" s="6" t="n"/>
      <c r="E11" s="3" t="n"/>
    </row>
    <row r="12" ht="22" customHeight="1">
      <c r="A12" s="5" t="inlineStr">
        <is>
          <t>Municipio/Ciudad:</t>
        </is>
      </c>
      <c r="B12" s="6" t="inlineStr">
        <is>
          <t>San Salvador</t>
        </is>
      </c>
      <c r="E12" s="3" t="n"/>
      <c r="F12" s="7" t="inlineStr">
        <is>
          <t>Hoy:</t>
        </is>
      </c>
      <c r="G12" s="8">
        <f>TEXTO(HOY(),"DD/MM/AAAA")</f>
        <v/>
      </c>
    </row>
    <row r="13" ht="22" customHeight="1">
      <c r="A13" s="5" t="inlineStr">
        <is>
          <t>Contacto emergencia:</t>
        </is>
      </c>
      <c r="B13" s="6" t="n"/>
      <c r="E13" s="3" t="n"/>
    </row>
    <row r="14" ht="22" customHeight="1">
      <c r="A14" s="5" t="inlineStr">
        <is>
          <t>Tel. emergencia:</t>
        </is>
      </c>
      <c r="B14" s="6" t="n"/>
      <c r="E14" s="3" t="n"/>
      <c r="F14" s="7" t="inlineStr">
        <is>
          <t>Versión:</t>
        </is>
      </c>
      <c r="G14" s="8" t="inlineStr">
        <is>
          <t>SaludSV Pro 1.0</t>
        </is>
      </c>
    </row>
    <row r="15" ht="22" customHeight="1">
      <c r="A15" s="5" t="inlineStr">
        <is>
          <t>Seguro médico:</t>
        </is>
      </c>
      <c r="B15" s="6" t="n"/>
      <c r="E15" s="3" t="n"/>
    </row>
    <row r="17" ht="28" customHeight="1">
      <c r="A17" s="9" t="inlineStr">
        <is>
          <t>ALERGIAS CONOCIDAS</t>
        </is>
      </c>
    </row>
    <row r="18" ht="30" customHeight="1">
      <c r="A18" s="10" t="inlineStr">
        <is>
          <t>ALERGIA</t>
        </is>
      </c>
      <c r="B18" s="10" t="inlineStr">
        <is>
          <t>SEVERIDAD</t>
        </is>
      </c>
      <c r="C18" s="10" t="inlineStr">
        <is>
          <t>REACCIÓN</t>
        </is>
      </c>
      <c r="D18" s="10" t="inlineStr">
        <is>
          <t>FECHA DIAGNÓSTICO</t>
        </is>
      </c>
      <c r="E18" s="10" t="inlineStr">
        <is>
          <t>NOTAS</t>
        </is>
      </c>
    </row>
    <row r="19" ht="20" customHeight="1">
      <c r="A19" s="11" t="inlineStr">
        <is>
          <t>Polen</t>
        </is>
      </c>
      <c r="B19" s="11" t="inlineStr">
        <is>
          <t>Leve</t>
        </is>
      </c>
      <c r="C19" s="11" t="inlineStr">
        <is>
          <t>Estornudos</t>
        </is>
      </c>
      <c r="D19" s="11" t="inlineStr">
        <is>
          <t>01/01/2020</t>
        </is>
      </c>
      <c r="E19" s="11" t="inlineStr">
        <is>
          <t>Antihistamínico si es necesario</t>
        </is>
      </c>
    </row>
    <row r="20" ht="20" customHeight="1">
      <c r="A20" s="12" t="n"/>
      <c r="B20" s="12" t="n"/>
      <c r="C20" s="12" t="n"/>
      <c r="D20" s="12" t="n"/>
      <c r="E20" s="12" t="n"/>
    </row>
    <row r="21" ht="20" customHeight="1">
      <c r="A21" s="13" t="n"/>
      <c r="B21" s="13" t="n"/>
      <c r="C21" s="13" t="n"/>
      <c r="D21" s="13" t="n"/>
      <c r="E21" s="13" t="n"/>
    </row>
    <row r="22" ht="20" customHeight="1">
      <c r="A22" s="12" t="n"/>
      <c r="B22" s="12" t="n"/>
      <c r="C22" s="12" t="n"/>
      <c r="D22" s="12" t="n"/>
      <c r="E22" s="12" t="n"/>
    </row>
    <row r="24" ht="28" customHeight="1">
      <c r="A24" s="14" t="inlineStr">
        <is>
          <t>CONDICIONES CRÓNICAS</t>
        </is>
      </c>
    </row>
    <row r="25" ht="30" customHeight="1">
      <c r="A25" s="15" t="inlineStr">
        <is>
          <t>CONDICIÓN</t>
        </is>
      </c>
      <c r="B25" s="15" t="inlineStr">
        <is>
          <t>FECHA DIAGNÓSTICO</t>
        </is>
      </c>
      <c r="C25" s="15" t="inlineStr">
        <is>
          <t>MÉDICO TRATANTE</t>
        </is>
      </c>
      <c r="D25" s="15" t="inlineStr">
        <is>
          <t>ESTADO</t>
        </is>
      </c>
      <c r="E25" s="15" t="inlineStr">
        <is>
          <t>MEDICACIÓN</t>
        </is>
      </c>
    </row>
    <row r="26" ht="20" customHeight="1">
      <c r="A26" s="11" t="inlineStr">
        <is>
          <t>Diabetes tipo 2</t>
        </is>
      </c>
      <c r="B26" s="11" t="inlineStr">
        <is>
          <t>15/03/2018</t>
        </is>
      </c>
      <c r="C26" s="11" t="inlineStr">
        <is>
          <t>Dr. García</t>
        </is>
      </c>
      <c r="D26" s="11" t="inlineStr">
        <is>
          <t>Controlada</t>
        </is>
      </c>
      <c r="E26" s="11" t="inlineStr">
        <is>
          <t>Metformina</t>
        </is>
      </c>
    </row>
    <row r="27" ht="20" customHeight="1">
      <c r="A27" s="13" t="n"/>
      <c r="B27" s="13" t="n"/>
      <c r="C27" s="13" t="n"/>
      <c r="D27" s="13" t="n"/>
      <c r="E27" s="13" t="n"/>
    </row>
    <row r="28" ht="20" customHeight="1">
      <c r="A28" s="12" t="n"/>
      <c r="B28" s="12" t="n"/>
      <c r="C28" s="12" t="n"/>
      <c r="D28" s="12" t="n"/>
      <c r="E28" s="12" t="n"/>
    </row>
    <row r="29" ht="20" customHeight="1">
      <c r="A29" s="13" t="n"/>
      <c r="B29" s="13" t="n"/>
      <c r="C29" s="13" t="n"/>
      <c r="D29" s="13" t="n"/>
      <c r="E29" s="13" t="n"/>
    </row>
  </sheetData>
  <mergeCells count="20">
    <mergeCell ref="A5:D5"/>
    <mergeCell ref="B11:D11"/>
    <mergeCell ref="G12:H12"/>
    <mergeCell ref="B14:D14"/>
    <mergeCell ref="F5:H5"/>
    <mergeCell ref="A24:E24"/>
    <mergeCell ref="B8:D8"/>
    <mergeCell ref="B13:D13"/>
    <mergeCell ref="G8:H8"/>
    <mergeCell ref="A1:H3"/>
    <mergeCell ref="B10:D10"/>
    <mergeCell ref="G10:H10"/>
    <mergeCell ref="B9:D9"/>
    <mergeCell ref="G6:H6"/>
    <mergeCell ref="B15:D15"/>
    <mergeCell ref="B6:D6"/>
    <mergeCell ref="G14:H14"/>
    <mergeCell ref="B7:D7"/>
    <mergeCell ref="A17:E17"/>
    <mergeCell ref="B12:D12"/>
  </mergeCells>
  <dataValidations count="4">
    <dataValidation sqref="B9" showDropDown="0" showInputMessage="0" showErrorMessage="0" allowBlank="1" type="list">
      <formula1>"O+,O-,A+,A-,B+,B-,AB+,AB-"</formula1>
    </dataValidation>
    <dataValidation sqref="B15" showDropDown="0" showInputMessage="0" showErrorMessage="0" allowBlank="1" type="list">
      <formula1>"ISSS,COSENA,BIENESTAR MAGISTERIAL,PRIVADO,NINGUNO"</formula1>
    </dataValidation>
    <dataValidation sqref="B19:B22" showDropDown="0" showInputMessage="0" showErrorMessage="0" allowBlank="1" type="list">
      <formula1>"Leve,Moderada,Severa,Anafilaxia"</formula1>
    </dataValidation>
    <dataValidation sqref="D26:D29" showDropDown="0" showInputMessage="0" showErrorMessage="0" allowBlank="1" type="list">
      <formula1>"Controlada,En tratamiento,Monitoreo,Remisión"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4C8A"/>
    <outlinePr summaryBelow="1" summaryRight="1"/>
    <pageSetUpPr/>
  </sheetPr>
  <dimension ref="A1:K1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24" customWidth="1" min="4" max="4"/>
    <col width="22" customWidth="1" min="5" max="5"/>
    <col width="28" customWidth="1" min="6" max="6"/>
    <col width="30" customWidth="1" min="7" max="7"/>
    <col width="30" customWidth="1" min="8" max="8"/>
    <col width="14" customWidth="1" min="9" max="9"/>
    <col width="11" customWidth="1" min="10" max="10"/>
    <col width="35" customWidth="1" min="11" max="11"/>
  </cols>
  <sheetData>
    <row r="1" ht="22" customHeight="1">
      <c r="A1" s="16" t="inlineStr">
        <is>
          <t>CITAS MÉDICAS | Registro y seguimiento de consultas
Verde=Pendiente | Naranja=Mañana/Pasado mañana | Gris=Completada | Rojo=Cancelada</t>
        </is>
      </c>
    </row>
    <row r="2" ht="22" customHeight="1"/>
    <row r="3" ht="6" customHeight="1"/>
    <row r="4" ht="30" customHeight="1">
      <c r="A4" s="17" t="inlineStr">
        <is>
          <t>#</t>
        </is>
      </c>
      <c r="B4" s="17" t="inlineStr">
        <is>
          <t>FECHA</t>
        </is>
      </c>
      <c r="C4" s="17" t="inlineStr">
        <is>
          <t>HORA</t>
        </is>
      </c>
      <c r="D4" s="17" t="inlineStr">
        <is>
          <t>DOCTOR/A</t>
        </is>
      </c>
      <c r="E4" s="17" t="inlineStr">
        <is>
          <t>ESPECIALIDAD</t>
        </is>
      </c>
      <c r="F4" s="17" t="inlineStr">
        <is>
          <t>CLÍNICA / HOSPITAL</t>
        </is>
      </c>
      <c r="G4" s="17" t="inlineStr">
        <is>
          <t>DIRECCIÓN</t>
        </is>
      </c>
      <c r="H4" s="17" t="inlineStr">
        <is>
          <t>MOTIVO</t>
        </is>
      </c>
      <c r="I4" s="17" t="inlineStr">
        <is>
          <t>ESTADO</t>
        </is>
      </c>
      <c r="J4" s="17" t="inlineStr">
        <is>
          <t>COSTO ($)</t>
        </is>
      </c>
      <c r="K4" s="17" t="inlineStr">
        <is>
          <t>NOTAS</t>
        </is>
      </c>
    </row>
    <row r="5" ht="20" customHeight="1">
      <c r="A5" s="18" t="n">
        <v>1</v>
      </c>
      <c r="B5" s="19" t="n">
        <v>46186</v>
      </c>
      <c r="C5" s="18" t="inlineStr">
        <is>
          <t>09:00</t>
        </is>
      </c>
      <c r="D5" s="11" t="inlineStr">
        <is>
          <t>Dr. Carlos Mendoza</t>
        </is>
      </c>
      <c r="E5" s="11" t="inlineStr">
        <is>
          <t>Medicina General</t>
        </is>
      </c>
      <c r="F5" s="11" t="inlineStr">
        <is>
          <t>Hospital Nacional Rosales</t>
        </is>
      </c>
      <c r="G5" s="11" t="inlineStr">
        <is>
          <t>Final Blvd. Los Héroes, San Salvador</t>
        </is>
      </c>
      <c r="H5" s="11" t="inlineStr">
        <is>
          <t>Control mensual de presión arterial</t>
        </is>
      </c>
      <c r="I5" s="18" t="inlineStr">
        <is>
          <t>Pendiente</t>
        </is>
      </c>
      <c r="J5" s="20" t="n">
        <v>25</v>
      </c>
      <c r="K5" s="11" t="inlineStr"/>
    </row>
    <row r="6" ht="20" customHeight="1">
      <c r="A6" s="21" t="n">
        <v>2</v>
      </c>
      <c r="B6" s="22" t="n">
        <v>46193</v>
      </c>
      <c r="C6" s="21" t="inlineStr">
        <is>
          <t>14:30</t>
        </is>
      </c>
      <c r="D6" s="6" t="inlineStr">
        <is>
          <t>Dra. María García</t>
        </is>
      </c>
      <c r="E6" s="6" t="inlineStr">
        <is>
          <t>Endocrinología</t>
        </is>
      </c>
      <c r="F6" s="6" t="inlineStr">
        <is>
          <t>Clínica Médica San Salvador</t>
        </is>
      </c>
      <c r="G6" s="6" t="inlineStr">
        <is>
          <t>75 Av. Norte, Col. Escalón, San Salvador</t>
        </is>
      </c>
      <c r="H6" s="6" t="inlineStr">
        <is>
          <t>Control diabetes - HbA1c</t>
        </is>
      </c>
      <c r="I6" s="21" t="inlineStr">
        <is>
          <t>Pendiente</t>
        </is>
      </c>
      <c r="J6" s="23" t="n">
        <v>45</v>
      </c>
      <c r="K6" s="6" t="inlineStr"/>
    </row>
    <row r="7" ht="20" customHeight="1">
      <c r="A7" s="18" t="n">
        <v>3</v>
      </c>
      <c r="B7" s="19" t="n">
        <v>46209</v>
      </c>
      <c r="C7" s="18" t="inlineStr">
        <is>
          <t>10:00</t>
        </is>
      </c>
      <c r="D7" s="11" t="inlineStr">
        <is>
          <t>Dr. José Rivera</t>
        </is>
      </c>
      <c r="E7" s="11" t="inlineStr">
        <is>
          <t>Cardiología</t>
        </is>
      </c>
      <c r="F7" s="11" t="inlineStr">
        <is>
          <t>ISSS Hospital Médico Quirúrgico</t>
        </is>
      </c>
      <c r="G7" s="11" t="inlineStr">
        <is>
          <t>Blvd. Constitución, San Salvador</t>
        </is>
      </c>
      <c r="H7" s="11" t="inlineStr">
        <is>
          <t>Ecocardiograma de control</t>
        </is>
      </c>
      <c r="I7" s="18" t="inlineStr">
        <is>
          <t>Pendiente</t>
        </is>
      </c>
      <c r="J7" s="20" t="n">
        <v>0</v>
      </c>
      <c r="K7" s="11" t="inlineStr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2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20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20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20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 ht="20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106" ht="24" customHeight="1">
      <c r="A106" s="24" t="inlineStr">
        <is>
          <t>TOTAL GASTADO:</t>
        </is>
      </c>
      <c r="J106" s="25">
        <f>SUMA(J5:J104)</f>
        <v/>
      </c>
      <c r="K106" s="26" t="n"/>
    </row>
  </sheetData>
  <autoFilter ref="A4:K4"/>
  <mergeCells count="2">
    <mergeCell ref="A106:I106"/>
    <mergeCell ref="A1:K2"/>
  </mergeCells>
  <conditionalFormatting sqref="A5:K104">
    <cfRule type="expression" priority="1" dxfId="0">
      <formula>$B5=TODAY()</formula>
    </cfRule>
    <cfRule type="expression" priority="2" dxfId="1">
      <formula>OR($B5=TODAY()+1,$B5=TODAY()+2)</formula>
    </cfRule>
    <cfRule type="expression" priority="3" dxfId="2">
      <formula>AND($I5="Pendiente",$B5&gt;=TODAY()+3)</formula>
    </cfRule>
    <cfRule type="expression" priority="4" dxfId="3">
      <formula>$I5="Completada"</formula>
    </cfRule>
    <cfRule type="expression" priority="5" dxfId="4">
      <formula>$I5="Cancelada"</formula>
    </cfRule>
  </conditionalFormatting>
  <dataValidations count="2">
    <dataValidation sqref="E5:E104" showDropDown="0" showInputMessage="0" showErrorMessage="0" allowBlank="1" type="list">
      <formula1>'_aux_listas'!$A$1:$A$22</formula1>
    </dataValidation>
    <dataValidation sqref="I5:I104" showDropDown="0" showInputMessage="0" showErrorMessage="0" allowBlank="1" type="list">
      <formula1>"Pendiente,Completada,Cancelada,Reprogramada,En espera de confirmación"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Medicina General</t>
        </is>
      </c>
    </row>
    <row r="2">
      <c r="A2" t="inlineStr">
        <is>
          <t>Cardiología</t>
        </is>
      </c>
    </row>
    <row r="3">
      <c r="A3" t="inlineStr">
        <is>
          <t>Dermatología</t>
        </is>
      </c>
    </row>
    <row r="4">
      <c r="A4" t="inlineStr">
        <is>
          <t>Endocrinología</t>
        </is>
      </c>
    </row>
    <row r="5">
      <c r="A5" t="inlineStr">
        <is>
          <t>Gastroenterología</t>
        </is>
      </c>
    </row>
    <row r="6">
      <c r="A6" t="inlineStr">
        <is>
          <t>Ginecología</t>
        </is>
      </c>
    </row>
    <row r="7">
      <c r="A7" t="inlineStr">
        <is>
          <t>Medicina Interna</t>
        </is>
      </c>
    </row>
    <row r="8">
      <c r="A8" t="inlineStr">
        <is>
          <t>Nefrología</t>
        </is>
      </c>
    </row>
    <row r="9">
      <c r="A9" t="inlineStr">
        <is>
          <t>Neumología</t>
        </is>
      </c>
    </row>
    <row r="10">
      <c r="A10" t="inlineStr">
        <is>
          <t>Neurología</t>
        </is>
      </c>
    </row>
    <row r="11">
      <c r="A11" t="inlineStr">
        <is>
          <t>Odontología</t>
        </is>
      </c>
    </row>
    <row r="12">
      <c r="A12" t="inlineStr">
        <is>
          <t>Oftalmología</t>
        </is>
      </c>
    </row>
    <row r="13">
      <c r="A13" t="inlineStr">
        <is>
          <t>Oncología</t>
        </is>
      </c>
    </row>
    <row r="14">
      <c r="A14" t="inlineStr">
        <is>
          <t>Ortopedia</t>
        </is>
      </c>
    </row>
    <row r="15">
      <c r="A15" t="inlineStr">
        <is>
          <t>Otorrinolaringología</t>
        </is>
      </c>
    </row>
    <row r="16">
      <c r="A16" t="inlineStr">
        <is>
          <t>Pediatría</t>
        </is>
      </c>
    </row>
    <row r="17">
      <c r="A17" t="inlineStr">
        <is>
          <t>Psiquiatría</t>
        </is>
      </c>
    </row>
    <row r="18">
      <c r="A18" t="inlineStr">
        <is>
          <t>Reumatología</t>
        </is>
      </c>
    </row>
    <row r="19">
      <c r="A19" t="inlineStr">
        <is>
          <t>Traumatología</t>
        </is>
      </c>
    </row>
    <row r="20">
      <c r="A20" t="inlineStr">
        <is>
          <t>Urología</t>
        </is>
      </c>
    </row>
    <row r="21">
      <c r="A21" t="inlineStr">
        <is>
          <t>Nutrición</t>
        </is>
      </c>
    </row>
    <row r="22">
      <c r="A22" t="inlineStr">
        <is>
          <t>Fisioterapia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U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5" customWidth="1" min="4" max="4"/>
    <col width="16" customWidth="1" min="5" max="5"/>
    <col width="20" customWidth="1" min="6" max="6"/>
    <col width="22" customWidth="1" min="7" max="7"/>
    <col width="18" customWidth="1" min="8" max="8"/>
    <col width="16" customWidth="1" min="9" max="9"/>
    <col width="16" customWidth="1" min="10" max="10"/>
    <col width="15" customWidth="1" min="11" max="11"/>
    <col width="12" customWidth="1" min="12" max="12"/>
    <col width="24" customWidth="1" min="13" max="13"/>
    <col width="13" customWidth="1" min="14" max="14"/>
    <col width="15" customWidth="1" min="15" max="15"/>
    <col width="32" customWidth="1" min="16" max="16"/>
    <col width="2" customWidth="1" min="17" max="17"/>
    <col width="22" customWidth="1" min="18" max="18"/>
    <col width="14" customWidth="1" min="19" max="19"/>
    <col width="14" customWidth="1" min="20" max="20"/>
    <col width="14" customWidth="1" min="21" max="21"/>
  </cols>
  <sheetData>
    <row r="1" ht="22" customHeight="1">
      <c r="A1" s="27" t="inlineStr">
        <is>
          <t>MEDICAMENTOS Y RECORDATORIOS
Rojo=Refill urgente (≤3 días) | Naranja=Refill pronto (≤7 días) | Amarillo=Atención (≤14 días) | Verde=Stock OK</t>
        </is>
      </c>
    </row>
    <row r="2" ht="22" customHeight="1"/>
    <row r="3" ht="6" customHeight="1"/>
    <row r="4" ht="30" customHeight="1">
      <c r="A4" s="28" t="inlineStr">
        <is>
          <t>#</t>
        </is>
      </c>
      <c r="B4" s="28" t="inlineStr">
        <is>
          <t>MEDICAMENTO</t>
        </is>
      </c>
      <c r="C4" s="28" t="inlineStr">
        <is>
          <t>PRESENTACIÓN</t>
        </is>
      </c>
      <c r="D4" s="28" t="inlineStr">
        <is>
          <t>DOSIS</t>
        </is>
      </c>
      <c r="E4" s="28" t="inlineStr">
        <is>
          <t>VÍA ADMINISTRACIÓN</t>
        </is>
      </c>
      <c r="F4" s="28" t="inlineStr">
        <is>
          <t>FRECUENCIA</t>
        </is>
      </c>
      <c r="G4" s="28" t="inlineStr">
        <is>
          <t>HORARIO</t>
        </is>
      </c>
      <c r="H4" s="28" t="inlineStr">
        <is>
          <t>TOMAR CON</t>
        </is>
      </c>
      <c r="I4" s="28" t="inlineStr">
        <is>
          <t>CANTIDAD ACTUAL</t>
        </is>
      </c>
      <c r="J4" s="28" t="inlineStr">
        <is>
          <t>ALERTA MÍNIMA</t>
        </is>
      </c>
      <c r="K4" s="28" t="inlineStr">
        <is>
          <t>DÍAS RESTANTES</t>
        </is>
      </c>
      <c r="L4" s="28" t="inlineStr">
        <is>
          <t>ES CRÓNICO</t>
        </is>
      </c>
      <c r="M4" s="28" t="inlineStr">
        <is>
          <t>MÉDICO PRESCRIPTOR</t>
        </is>
      </c>
      <c r="N4" s="28" t="inlineStr">
        <is>
          <t>FECHA INICIO</t>
        </is>
      </c>
      <c r="O4" s="28" t="inlineStr">
        <is>
          <t>FECHA FIN</t>
        </is>
      </c>
      <c r="P4" s="28" t="inlineStr">
        <is>
          <t>OBSERVACIONES</t>
        </is>
      </c>
      <c r="R4" s="14" t="inlineStr">
        <is>
          <t>HORARIO DEL DÍA</t>
        </is>
      </c>
    </row>
    <row r="5" ht="18" customHeight="1">
      <c r="A5" s="18" t="n">
        <v>1</v>
      </c>
      <c r="B5" s="11" t="inlineStr">
        <is>
          <t>Metformina 500mg</t>
        </is>
      </c>
      <c r="C5" s="18" t="inlineStr">
        <is>
          <t>Tableta</t>
        </is>
      </c>
      <c r="D5" s="18" t="inlineStr">
        <is>
          <t>500mg</t>
        </is>
      </c>
      <c r="E5" s="18" t="inlineStr">
        <is>
          <t>Oral</t>
        </is>
      </c>
      <c r="F5" s="18" t="inlineStr">
        <is>
          <t>Cada 12 horas</t>
        </is>
      </c>
      <c r="G5" s="11" t="inlineStr">
        <is>
          <t>7am - 7pm</t>
        </is>
      </c>
      <c r="H5" s="18" t="inlineStr">
        <is>
          <t>Con alimentos</t>
        </is>
      </c>
      <c r="I5" s="18" t="n">
        <v>45</v>
      </c>
      <c r="J5" s="18" t="n">
        <v>10</v>
      </c>
      <c r="K5" s="18">
        <f>SI(I5=0,"Sin stock",SI(F5="Cada 4 horas",REDONDEAR(I5/6,0),SI(F5="Cada 6 horas",REDONDEAR(I5/4,0),SI(F5="Cada 8 horas",REDONDEAR(I5/3,0),SI(F5="Cada 12 horas",REDONDEAR(I5/2,0),SI(F5="Cada 24 horas",I5,SI(F5="Dos veces por semana",I5/2*7,SI(F5="Una vez por semana",I5*7,I5))))))))</f>
        <v/>
      </c>
      <c r="L5" s="18" t="inlineStr">
        <is>
          <t>Sí</t>
        </is>
      </c>
      <c r="M5" s="11" t="inlineStr">
        <is>
          <t>Dr. María García</t>
        </is>
      </c>
      <c r="N5" s="19" t="n">
        <v>44941</v>
      </c>
      <c r="O5" s="18" t="inlineStr">
        <is>
          <t>Indefinido</t>
        </is>
      </c>
      <c r="P5" s="11" t="inlineStr">
        <is>
          <t>Control glucemia en diabetes tipo 2. No suspender sin consultar médico.</t>
        </is>
      </c>
      <c r="R5" s="29" t="inlineStr">
        <is>
          <t>MAÑANA (6am-12pm)</t>
        </is>
      </c>
    </row>
    <row r="6" ht="18" customHeight="1">
      <c r="A6" s="21" t="n">
        <v>2</v>
      </c>
      <c r="B6" s="6" t="inlineStr">
        <is>
          <t>Losartán 50mg</t>
        </is>
      </c>
      <c r="C6" s="21" t="inlineStr">
        <is>
          <t>Tableta</t>
        </is>
      </c>
      <c r="D6" s="21" t="inlineStr">
        <is>
          <t>50mg</t>
        </is>
      </c>
      <c r="E6" s="21" t="inlineStr">
        <is>
          <t>Oral</t>
        </is>
      </c>
      <c r="F6" s="21" t="inlineStr">
        <is>
          <t>Cada 24 horas</t>
        </is>
      </c>
      <c r="G6" s="6" t="inlineStr">
        <is>
          <t>8am</t>
        </is>
      </c>
      <c r="H6" s="21" t="inlineStr">
        <is>
          <t>Con agua</t>
        </is>
      </c>
      <c r="I6" s="21" t="n">
        <v>20</v>
      </c>
      <c r="J6" s="21" t="n">
        <v>7</v>
      </c>
      <c r="K6" s="21">
        <f>SI(I6=0,"Sin stock",SI(F6="Cada 4 horas",REDONDEAR(I6/6,0),SI(F6="Cada 6 horas",REDONDEAR(I6/4,0),SI(F6="Cada 8 horas",REDONDEAR(I6/3,0),SI(F6="Cada 12 horas",REDONDEAR(I6/2,0),SI(F6="Cada 24 horas",I6,SI(F6="Dos veces por semana",I6/2*7,SI(F6="Una vez por semana",I6*7,I6))))))))</f>
        <v/>
      </c>
      <c r="L6" s="21" t="inlineStr">
        <is>
          <t>Sí</t>
        </is>
      </c>
      <c r="M6" s="6" t="inlineStr">
        <is>
          <t>Dr. Carlos Mendoza</t>
        </is>
      </c>
      <c r="N6" s="22" t="n">
        <v>44640</v>
      </c>
      <c r="O6" s="21" t="inlineStr">
        <is>
          <t>Indefinido</t>
        </is>
      </c>
      <c r="P6" s="6" t="inlineStr">
        <is>
          <t>Para hipertensión arterial. Tomar a la misma hora cada día.</t>
        </is>
      </c>
      <c r="R6" s="30" t="n"/>
    </row>
    <row r="7" ht="18" customHeight="1">
      <c r="A7" s="18" t="n">
        <v>3</v>
      </c>
      <c r="B7" s="11" t="inlineStr">
        <is>
          <t>Vitamina D3 1000UI</t>
        </is>
      </c>
      <c r="C7" s="18" t="inlineStr">
        <is>
          <t>Cápsula</t>
        </is>
      </c>
      <c r="D7" s="18" t="inlineStr">
        <is>
          <t>1000UI</t>
        </is>
      </c>
      <c r="E7" s="18" t="inlineStr">
        <is>
          <t>Oral</t>
        </is>
      </c>
      <c r="F7" s="18" t="inlineStr">
        <is>
          <t>Cada 24 horas</t>
        </is>
      </c>
      <c r="G7" s="11" t="inlineStr">
        <is>
          <t>8am</t>
        </is>
      </c>
      <c r="H7" s="18" t="inlineStr">
        <is>
          <t>Con alimentos</t>
        </is>
      </c>
      <c r="I7" s="18" t="n">
        <v>60</v>
      </c>
      <c r="J7" s="18" t="n">
        <v>10</v>
      </c>
      <c r="K7" s="18">
        <f>SI(I7=0,"Sin stock",SI(F7="Cada 4 horas",REDONDEAR(I7/6,0),SI(F7="Cada 6 horas",REDONDEAR(I7/4,0),SI(F7="Cada 8 horas",REDONDEAR(I7/3,0),SI(F7="Cada 12 horas",REDONDEAR(I7/2,0),SI(F7="Cada 24 horas",I7,SI(F7="Dos veces por semana",I7/2*7,SI(F7="Una vez por semana",I7*7,I7))))))))</f>
        <v/>
      </c>
      <c r="L7" s="18" t="inlineStr">
        <is>
          <t>No</t>
        </is>
      </c>
      <c r="M7" s="11" t="inlineStr">
        <is>
          <t>Dr. José Rivera</t>
        </is>
      </c>
      <c r="N7" s="19" t="n">
        <v>46174</v>
      </c>
      <c r="O7" s="18" t="inlineStr">
        <is>
          <t>01/12/2026</t>
        </is>
      </c>
      <c r="P7" s="11" t="inlineStr">
        <is>
          <t>Suplemento por deficiencia diagnosticada.</t>
        </is>
      </c>
      <c r="R7" s="30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31">
        <f>SI(I8=0,"Sin stock",SI(F8="Cada 4 horas",REDONDEAR(I8/6,0),SI(F8="Cada 6 horas",REDONDEAR(I8/4,0),SI(F8="Cada 8 horas",REDONDEAR(I8/3,0),SI(F8="Cada 12 horas",REDONDEAR(I8/2,0),SI(F8="Cada 24 horas",I8,SI(F8="Dos veces por semana",I8/2*7,SI(F8="Una vez por semana",I8*7,I8))))))))</f>
        <v/>
      </c>
      <c r="L8" s="12" t="n"/>
      <c r="M8" s="12" t="n"/>
      <c r="N8" s="12" t="n"/>
      <c r="O8" s="12" t="n"/>
      <c r="P8" s="12" t="n"/>
      <c r="R8" s="30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31">
        <f>SI(I9=0,"Sin stock",SI(F9="Cada 4 horas",REDONDEAR(I9/6,0),SI(F9="Cada 6 horas",REDONDEAR(I9/4,0),SI(F9="Cada 8 horas",REDONDEAR(I9/3,0),SI(F9="Cada 12 horas",REDONDEAR(I9/2,0),SI(F9="Cada 24 horas",I9,SI(F9="Dos veces por semana",I9/2*7,SI(F9="Una vez por semana",I9*7,I9))))))))</f>
        <v/>
      </c>
      <c r="L9" s="13" t="n"/>
      <c r="M9" s="13" t="n"/>
      <c r="N9" s="13" t="n"/>
      <c r="O9" s="13" t="n"/>
      <c r="P9" s="13" t="n"/>
      <c r="R9" s="32" t="inlineStr">
        <is>
          <t>TARDE (12pm-6pm)</t>
        </is>
      </c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31">
        <f>SI(I10=0,"Sin stock",SI(F10="Cada 4 horas",REDONDEAR(I10/6,0),SI(F10="Cada 6 horas",REDONDEAR(I10/4,0),SI(F10="Cada 8 horas",REDONDEAR(I10/3,0),SI(F10="Cada 12 horas",REDONDEAR(I10/2,0),SI(F10="Cada 24 horas",I10,SI(F10="Dos veces por semana",I10/2*7,SI(F10="Una vez por semana",I10*7,I10))))))))</f>
        <v/>
      </c>
      <c r="L10" s="12" t="n"/>
      <c r="M10" s="12" t="n"/>
      <c r="N10" s="12" t="n"/>
      <c r="O10" s="12" t="n"/>
      <c r="P10" s="12" t="n"/>
      <c r="R10" s="33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31">
        <f>SI(I11=0,"Sin stock",SI(F11="Cada 4 horas",REDONDEAR(I11/6,0),SI(F11="Cada 6 horas",REDONDEAR(I11/4,0),SI(F11="Cada 8 horas",REDONDEAR(I11/3,0),SI(F11="Cada 12 horas",REDONDEAR(I11/2,0),SI(F11="Cada 24 horas",I11,SI(F11="Dos veces por semana",I11/2*7,SI(F11="Una vez por semana",I11*7,I11))))))))</f>
        <v/>
      </c>
      <c r="L11" s="13" t="n"/>
      <c r="M11" s="13" t="n"/>
      <c r="N11" s="13" t="n"/>
      <c r="O11" s="13" t="n"/>
      <c r="P11" s="13" t="n"/>
      <c r="R11" s="3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31">
        <f>SI(I12=0,"Sin stock",SI(F12="Cada 4 horas",REDONDEAR(I12/6,0),SI(F12="Cada 6 horas",REDONDEAR(I12/4,0),SI(F12="Cada 8 horas",REDONDEAR(I12/3,0),SI(F12="Cada 12 horas",REDONDEAR(I12/2,0),SI(F12="Cada 24 horas",I12,SI(F12="Dos veces por semana",I12/2*7,SI(F12="Una vez por semana",I12*7,I12))))))))</f>
        <v/>
      </c>
      <c r="L12" s="12" t="n"/>
      <c r="M12" s="12" t="n"/>
      <c r="N12" s="12" t="n"/>
      <c r="O12" s="12" t="n"/>
      <c r="P12" s="12" t="n"/>
      <c r="R12" s="33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31">
        <f>SI(I13=0,"Sin stock",SI(F13="Cada 4 horas",REDONDEAR(I13/6,0),SI(F13="Cada 6 horas",REDONDEAR(I13/4,0),SI(F13="Cada 8 horas",REDONDEAR(I13/3,0),SI(F13="Cada 12 horas",REDONDEAR(I13/2,0),SI(F13="Cada 24 horas",I13,SI(F13="Dos veces por semana",I13/2*7,SI(F13="Una vez por semana",I13*7,I13))))))))</f>
        <v/>
      </c>
      <c r="L13" s="13" t="n"/>
      <c r="M13" s="13" t="n"/>
      <c r="N13" s="13" t="n"/>
      <c r="O13" s="13" t="n"/>
      <c r="P13" s="13" t="n"/>
      <c r="R13" s="34" t="inlineStr">
        <is>
          <t>NOCHE (6pm-12am)</t>
        </is>
      </c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31">
        <f>SI(I14=0,"Sin stock",SI(F14="Cada 4 horas",REDONDEAR(I14/6,0),SI(F14="Cada 6 horas",REDONDEAR(I14/4,0),SI(F14="Cada 8 horas",REDONDEAR(I14/3,0),SI(F14="Cada 12 horas",REDONDEAR(I14/2,0),SI(F14="Cada 24 horas",I14,SI(F14="Dos veces por semana",I14/2*7,SI(F14="Una vez por semana",I14*7,I14))))))))</f>
        <v/>
      </c>
      <c r="L14" s="12" t="n"/>
      <c r="M14" s="12" t="n"/>
      <c r="N14" s="12" t="n"/>
      <c r="O14" s="12" t="n"/>
      <c r="P14" s="12" t="n"/>
      <c r="R14" s="35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31">
        <f>SI(I15=0,"Sin stock",SI(F15="Cada 4 horas",REDONDEAR(I15/6,0),SI(F15="Cada 6 horas",REDONDEAR(I15/4,0),SI(F15="Cada 8 horas",REDONDEAR(I15/3,0),SI(F15="Cada 12 horas",REDONDEAR(I15/2,0),SI(F15="Cada 24 horas",I15,SI(F15="Dos veces por semana",I15/2*7,SI(F15="Una vez por semana",I15*7,I15))))))))</f>
        <v/>
      </c>
      <c r="L15" s="13" t="n"/>
      <c r="M15" s="13" t="n"/>
      <c r="N15" s="13" t="n"/>
      <c r="O15" s="13" t="n"/>
      <c r="P15" s="13" t="n"/>
      <c r="R15" s="35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31">
        <f>SI(I16=0,"Sin stock",SI(F16="Cada 4 horas",REDONDEAR(I16/6,0),SI(F16="Cada 6 horas",REDONDEAR(I16/4,0),SI(F16="Cada 8 horas",REDONDEAR(I16/3,0),SI(F16="Cada 12 horas",REDONDEAR(I16/2,0),SI(F16="Cada 24 horas",I16,SI(F16="Dos veces por semana",I16/2*7,SI(F16="Una vez por semana",I16*7,I16))))))))</f>
        <v/>
      </c>
      <c r="L16" s="12" t="n"/>
      <c r="M16" s="12" t="n"/>
      <c r="N16" s="12" t="n"/>
      <c r="O16" s="12" t="n"/>
      <c r="P16" s="12" t="n"/>
      <c r="R16" s="35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31">
        <f>SI(I17=0,"Sin stock",SI(F17="Cada 4 horas",REDONDEAR(I17/6,0),SI(F17="Cada 6 horas",REDONDEAR(I17/4,0),SI(F17="Cada 8 horas",REDONDEAR(I17/3,0),SI(F17="Cada 12 horas",REDONDEAR(I17/2,0),SI(F17="Cada 24 horas",I17,SI(F17="Dos veces por semana",I17/2*7,SI(F17="Una vez por semana",I17*7,I17))))))))</f>
        <v/>
      </c>
      <c r="L17" s="13" t="n"/>
      <c r="M17" s="13" t="n"/>
      <c r="N17" s="13" t="n"/>
      <c r="O17" s="13" t="n"/>
      <c r="P17" s="13" t="n"/>
      <c r="R17" s="36" t="inlineStr">
        <is>
          <t>NOTA:</t>
        </is>
      </c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31">
        <f>SI(I18=0,"Sin stock",SI(F18="Cada 4 horas",REDONDEAR(I18/6,0),SI(F18="Cada 6 horas",REDONDEAR(I18/4,0),SI(F18="Cada 8 horas",REDONDEAR(I18/3,0),SI(F18="Cada 12 horas",REDONDEAR(I18/2,0),SI(F18="Cada 24 horas",I18,SI(F18="Dos veces por semana",I18/2*7,SI(F18="Una vez por semana",I18*7,I18))))))))</f>
        <v/>
      </c>
      <c r="L18" s="12" t="n"/>
      <c r="M18" s="12" t="n"/>
      <c r="N18" s="12" t="n"/>
      <c r="O18" s="12" t="n"/>
      <c r="P18" s="12" t="n"/>
      <c r="R18" s="37" t="inlineStr">
        <is>
          <t>Complete según sus medicamentos activos</t>
        </is>
      </c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31">
        <f>SI(I19=0,"Sin stock",SI(F19="Cada 4 horas",REDONDEAR(I19/6,0),SI(F19="Cada 6 horas",REDONDEAR(I19/4,0),SI(F19="Cada 8 horas",REDONDEAR(I19/3,0),SI(F19="Cada 12 horas",REDONDEAR(I19/2,0),SI(F19="Cada 24 horas",I19,SI(F19="Dos veces por semana",I19/2*7,SI(F19="Una vez por semana",I19*7,I19))))))))</f>
        <v/>
      </c>
      <c r="L19" s="13" t="n"/>
      <c r="M19" s="13" t="n"/>
      <c r="N19" s="13" t="n"/>
      <c r="O19" s="13" t="n"/>
      <c r="P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31">
        <f>SI(I20=0,"Sin stock",SI(F20="Cada 4 horas",REDONDEAR(I20/6,0),SI(F20="Cada 6 horas",REDONDEAR(I20/4,0),SI(F20="Cada 8 horas",REDONDEAR(I20/3,0),SI(F20="Cada 12 horas",REDONDEAR(I20/2,0),SI(F20="Cada 24 horas",I20,SI(F20="Dos veces por semana",I20/2*7,SI(F20="Una vez por semana",I20*7,I20))))))))</f>
        <v/>
      </c>
      <c r="L20" s="12" t="n"/>
      <c r="M20" s="12" t="n"/>
      <c r="N20" s="12" t="n"/>
      <c r="O20" s="12" t="n"/>
      <c r="P20" s="12" t="n"/>
    </row>
    <row r="21">
      <c r="K21" s="31">
        <f>SI(I21=0,"Sin stock",SI(F21="Cada 4 horas",REDONDEAR(I21/6,0),SI(F21="Cada 6 horas",REDONDEAR(I21/4,0),SI(F21="Cada 8 horas",REDONDEAR(I21/3,0),SI(F21="Cada 12 horas",REDONDEAR(I21/2,0),SI(F21="Cada 24 horas",I21,SI(F21="Dos veces por semana",I21/2*7,SI(F21="Una vez por semana",I21*7,I21))))))))</f>
        <v/>
      </c>
    </row>
    <row r="22">
      <c r="K22" s="31">
        <f>SI(I22=0,"Sin stock",SI(F22="Cada 4 horas",REDONDEAR(I22/6,0),SI(F22="Cada 6 horas",REDONDEAR(I22/4,0),SI(F22="Cada 8 horas",REDONDEAR(I22/3,0),SI(F22="Cada 12 horas",REDONDEAR(I22/2,0),SI(F22="Cada 24 horas",I22,SI(F22="Dos veces por semana",I22/2*7,SI(F22="Una vez por semana",I22*7,I22))))))))</f>
        <v/>
      </c>
    </row>
    <row r="23">
      <c r="K23" s="31">
        <f>SI(I23=0,"Sin stock",SI(F23="Cada 4 horas",REDONDEAR(I23/6,0),SI(F23="Cada 6 horas",REDONDEAR(I23/4,0),SI(F23="Cada 8 horas",REDONDEAR(I23/3,0),SI(F23="Cada 12 horas",REDONDEAR(I23/2,0),SI(F23="Cada 24 horas",I23,SI(F23="Dos veces por semana",I23/2*7,SI(F23="Una vez por semana",I23*7,I23))))))))</f>
        <v/>
      </c>
    </row>
    <row r="24">
      <c r="K24" s="31">
        <f>SI(I24=0,"Sin stock",SI(F24="Cada 4 horas",REDONDEAR(I24/6,0),SI(F24="Cada 6 horas",REDONDEAR(I24/4,0),SI(F24="Cada 8 horas",REDONDEAR(I24/3,0),SI(F24="Cada 12 horas",REDONDEAR(I24/2,0),SI(F24="Cada 24 horas",I24,SI(F24="Dos veces por semana",I24/2*7,SI(F24="Una vez por semana",I24*7,I24))))))))</f>
        <v/>
      </c>
    </row>
    <row r="25">
      <c r="K25" s="31">
        <f>SI(I25=0,"Sin stock",SI(F25="Cada 4 horas",REDONDEAR(I25/6,0),SI(F25="Cada 6 horas",REDONDEAR(I25/4,0),SI(F25="Cada 8 horas",REDONDEAR(I25/3,0),SI(F25="Cada 12 horas",REDONDEAR(I25/2,0),SI(F25="Cada 24 horas",I25,SI(F25="Dos veces por semana",I25/2*7,SI(F25="Una vez por semana",I25*7,I25))))))))</f>
        <v/>
      </c>
    </row>
    <row r="26">
      <c r="K26" s="31">
        <f>SI(I26=0,"Sin stock",SI(F26="Cada 4 horas",REDONDEAR(I26/6,0),SI(F26="Cada 6 horas",REDONDEAR(I26/4,0),SI(F26="Cada 8 horas",REDONDEAR(I26/3,0),SI(F26="Cada 12 horas",REDONDEAR(I26/2,0),SI(F26="Cada 24 horas",I26,SI(F26="Dos veces por semana",I26/2*7,SI(F26="Una vez por semana",I26*7,I26))))))))</f>
        <v/>
      </c>
    </row>
    <row r="27">
      <c r="K27" s="31">
        <f>SI(I27=0,"Sin stock",SI(F27="Cada 4 horas",REDONDEAR(I27/6,0),SI(F27="Cada 6 horas",REDONDEAR(I27/4,0),SI(F27="Cada 8 horas",REDONDEAR(I27/3,0),SI(F27="Cada 12 horas",REDONDEAR(I27/2,0),SI(F27="Cada 24 horas",I27,SI(F27="Dos veces por semana",I27/2*7,SI(F27="Una vez por semana",I27*7,I27))))))))</f>
        <v/>
      </c>
    </row>
    <row r="28">
      <c r="K28" s="31">
        <f>SI(I28=0,"Sin stock",SI(F28="Cada 4 horas",REDONDEAR(I28/6,0),SI(F28="Cada 6 horas",REDONDEAR(I28/4,0),SI(F28="Cada 8 horas",REDONDEAR(I28/3,0),SI(F28="Cada 12 horas",REDONDEAR(I28/2,0),SI(F28="Cada 24 horas",I28,SI(F28="Dos veces por semana",I28/2*7,SI(F28="Una vez por semana",I28*7,I28))))))))</f>
        <v/>
      </c>
    </row>
    <row r="29">
      <c r="K29" s="31">
        <f>SI(I29=0,"Sin stock",SI(F29="Cada 4 horas",REDONDEAR(I29/6,0),SI(F29="Cada 6 horas",REDONDEAR(I29/4,0),SI(F29="Cada 8 horas",REDONDEAR(I29/3,0),SI(F29="Cada 12 horas",REDONDEAR(I29/2,0),SI(F29="Cada 24 horas",I29,SI(F29="Dos veces por semana",I29/2*7,SI(F29="Una vez por semana",I29*7,I29))))))))</f>
        <v/>
      </c>
    </row>
    <row r="30">
      <c r="K30" s="31">
        <f>SI(I30=0,"Sin stock",SI(F30="Cada 4 horas",REDONDEAR(I30/6,0),SI(F30="Cada 6 horas",REDONDEAR(I30/4,0),SI(F30="Cada 8 horas",REDONDEAR(I30/3,0),SI(F30="Cada 12 horas",REDONDEAR(I30/2,0),SI(F30="Cada 24 horas",I30,SI(F30="Dos veces por semana",I30/2*7,SI(F30="Una vez por semana",I30*7,I30))))))))</f>
        <v/>
      </c>
    </row>
    <row r="31">
      <c r="K31" s="31">
        <f>SI(I31=0,"Sin stock",SI(F31="Cada 4 horas",REDONDEAR(I31/6,0),SI(F31="Cada 6 horas",REDONDEAR(I31/4,0),SI(F31="Cada 8 horas",REDONDEAR(I31/3,0),SI(F31="Cada 12 horas",REDONDEAR(I31/2,0),SI(F31="Cada 24 horas",I31,SI(F31="Dos veces por semana",I31/2*7,SI(F31="Una vez por semana",I31*7,I31))))))))</f>
        <v/>
      </c>
    </row>
    <row r="32">
      <c r="K32" s="31">
        <f>SI(I32=0,"Sin stock",SI(F32="Cada 4 horas",REDONDEAR(I32/6,0),SI(F32="Cada 6 horas",REDONDEAR(I32/4,0),SI(F32="Cada 8 horas",REDONDEAR(I32/3,0),SI(F32="Cada 12 horas",REDONDEAR(I32/2,0),SI(F32="Cada 24 horas",I32,SI(F32="Dos veces por semana",I32/2*7,SI(F32="Una vez por semana",I32*7,I32))))))))</f>
        <v/>
      </c>
    </row>
    <row r="33">
      <c r="K33" s="31">
        <f>SI(I33=0,"Sin stock",SI(F33="Cada 4 horas",REDONDEAR(I33/6,0),SI(F33="Cada 6 horas",REDONDEAR(I33/4,0),SI(F33="Cada 8 horas",REDONDEAR(I33/3,0),SI(F33="Cada 12 horas",REDONDEAR(I33/2,0),SI(F33="Cada 24 horas",I33,SI(F33="Dos veces por semana",I33/2*7,SI(F33="Una vez por semana",I33*7,I33))))))))</f>
        <v/>
      </c>
    </row>
    <row r="34">
      <c r="K34" s="31">
        <f>SI(I34=0,"Sin stock",SI(F34="Cada 4 horas",REDONDEAR(I34/6,0),SI(F34="Cada 6 horas",REDONDEAR(I34/4,0),SI(F34="Cada 8 horas",REDONDEAR(I34/3,0),SI(F34="Cada 12 horas",REDONDEAR(I34/2,0),SI(F34="Cada 24 horas",I34,SI(F34="Dos veces por semana",I34/2*7,SI(F34="Una vez por semana",I34*7,I34))))))))</f>
        <v/>
      </c>
    </row>
    <row r="35">
      <c r="K35" s="31">
        <f>SI(I35=0,"Sin stock",SI(F35="Cada 4 horas",REDONDEAR(I35/6,0),SI(F35="Cada 6 horas",REDONDEAR(I35/4,0),SI(F35="Cada 8 horas",REDONDEAR(I35/3,0),SI(F35="Cada 12 horas",REDONDEAR(I35/2,0),SI(F35="Cada 24 horas",I35,SI(F35="Dos veces por semana",I35/2*7,SI(F35="Una vez por semana",I35*7,I35))))))))</f>
        <v/>
      </c>
    </row>
    <row r="36">
      <c r="K36" s="31">
        <f>SI(I36=0,"Sin stock",SI(F36="Cada 4 horas",REDONDEAR(I36/6,0),SI(F36="Cada 6 horas",REDONDEAR(I36/4,0),SI(F36="Cada 8 horas",REDONDEAR(I36/3,0),SI(F36="Cada 12 horas",REDONDEAR(I36/2,0),SI(F36="Cada 24 horas",I36,SI(F36="Dos veces por semana",I36/2*7,SI(F36="Una vez por semana",I36*7,I36))))))))</f>
        <v/>
      </c>
    </row>
    <row r="37">
      <c r="K37" s="31">
        <f>SI(I37=0,"Sin stock",SI(F37="Cada 4 horas",REDONDEAR(I37/6,0),SI(F37="Cada 6 horas",REDONDEAR(I37/4,0),SI(F37="Cada 8 horas",REDONDEAR(I37/3,0),SI(F37="Cada 12 horas",REDONDEAR(I37/2,0),SI(F37="Cada 24 horas",I37,SI(F37="Dos veces por semana",I37/2*7,SI(F37="Una vez por semana",I37*7,I37))))))))</f>
        <v/>
      </c>
    </row>
    <row r="38">
      <c r="K38" s="31">
        <f>SI(I38=0,"Sin stock",SI(F38="Cada 4 horas",REDONDEAR(I38/6,0),SI(F38="Cada 6 horas",REDONDEAR(I38/4,0),SI(F38="Cada 8 horas",REDONDEAR(I38/3,0),SI(F38="Cada 12 horas",REDONDEAR(I38/2,0),SI(F38="Cada 24 horas",I38,SI(F38="Dos veces por semana",I38/2*7,SI(F38="Una vez por semana",I38*7,I38))))))))</f>
        <v/>
      </c>
    </row>
    <row r="39">
      <c r="K39" s="31">
        <f>SI(I39=0,"Sin stock",SI(F39="Cada 4 horas",REDONDEAR(I39/6,0),SI(F39="Cada 6 horas",REDONDEAR(I39/4,0),SI(F39="Cada 8 horas",REDONDEAR(I39/3,0),SI(F39="Cada 12 horas",REDONDEAR(I39/2,0),SI(F39="Cada 24 horas",I39,SI(F39="Dos veces por semana",I39/2*7,SI(F39="Una vez por semana",I39*7,I39))))))))</f>
        <v/>
      </c>
    </row>
    <row r="40">
      <c r="K40" s="31">
        <f>SI(I40=0,"Sin stock",SI(F40="Cada 4 horas",REDONDEAR(I40/6,0),SI(F40="Cada 6 horas",REDONDEAR(I40/4,0),SI(F40="Cada 8 horas",REDONDEAR(I40/3,0),SI(F40="Cada 12 horas",REDONDEAR(I40/2,0),SI(F40="Cada 24 horas",I40,SI(F40="Dos veces por semana",I40/2*7,SI(F40="Una vez por semana",I40*7,I40))))))))</f>
        <v/>
      </c>
    </row>
    <row r="41">
      <c r="K41" s="31">
        <f>SI(I41=0,"Sin stock",SI(F41="Cada 4 horas",REDONDEAR(I41/6,0),SI(F41="Cada 6 horas",REDONDEAR(I41/4,0),SI(F41="Cada 8 horas",REDONDEAR(I41/3,0),SI(F41="Cada 12 horas",REDONDEAR(I41/2,0),SI(F41="Cada 24 horas",I41,SI(F41="Dos veces por semana",I41/2*7,SI(F41="Una vez por semana",I41*7,I41))))))))</f>
        <v/>
      </c>
    </row>
    <row r="42">
      <c r="K42" s="31">
        <f>SI(I42=0,"Sin stock",SI(F42="Cada 4 horas",REDONDEAR(I42/6,0),SI(F42="Cada 6 horas",REDONDEAR(I42/4,0),SI(F42="Cada 8 horas",REDONDEAR(I42/3,0),SI(F42="Cada 12 horas",REDONDEAR(I42/2,0),SI(F42="Cada 24 horas",I42,SI(F42="Dos veces por semana",I42/2*7,SI(F42="Una vez por semana",I42*7,I42))))))))</f>
        <v/>
      </c>
    </row>
    <row r="43">
      <c r="K43" s="31">
        <f>SI(I43=0,"Sin stock",SI(F43="Cada 4 horas",REDONDEAR(I43/6,0),SI(F43="Cada 6 horas",REDONDEAR(I43/4,0),SI(F43="Cada 8 horas",REDONDEAR(I43/3,0),SI(F43="Cada 12 horas",REDONDEAR(I43/2,0),SI(F43="Cada 24 horas",I43,SI(F43="Dos veces por semana",I43/2*7,SI(F43="Una vez por semana",I43*7,I43))))))))</f>
        <v/>
      </c>
    </row>
    <row r="44">
      <c r="K44" s="31">
        <f>SI(I44=0,"Sin stock",SI(F44="Cada 4 horas",REDONDEAR(I44/6,0),SI(F44="Cada 6 horas",REDONDEAR(I44/4,0),SI(F44="Cada 8 horas",REDONDEAR(I44/3,0),SI(F44="Cada 12 horas",REDONDEAR(I44/2,0),SI(F44="Cada 24 horas",I44,SI(F44="Dos veces por semana",I44/2*7,SI(F44="Una vez por semana",I44*7,I44))))))))</f>
        <v/>
      </c>
    </row>
    <row r="45">
      <c r="K45" s="31">
        <f>SI(I45=0,"Sin stock",SI(F45="Cada 4 horas",REDONDEAR(I45/6,0),SI(F45="Cada 6 horas",REDONDEAR(I45/4,0),SI(F45="Cada 8 horas",REDONDEAR(I45/3,0),SI(F45="Cada 12 horas",REDONDEAR(I45/2,0),SI(F45="Cada 24 horas",I45,SI(F45="Dos veces por semana",I45/2*7,SI(F45="Una vez por semana",I45*7,I45))))))))</f>
        <v/>
      </c>
    </row>
    <row r="46">
      <c r="K46" s="31">
        <f>SI(I46=0,"Sin stock",SI(F46="Cada 4 horas",REDONDEAR(I46/6,0),SI(F46="Cada 6 horas",REDONDEAR(I46/4,0),SI(F46="Cada 8 horas",REDONDEAR(I46/3,0),SI(F46="Cada 12 horas",REDONDEAR(I46/2,0),SI(F46="Cada 24 horas",I46,SI(F46="Dos veces por semana",I46/2*7,SI(F46="Una vez por semana",I46*7,I46))))))))</f>
        <v/>
      </c>
    </row>
    <row r="47">
      <c r="K47" s="31">
        <f>SI(I47=0,"Sin stock",SI(F47="Cada 4 horas",REDONDEAR(I47/6,0),SI(F47="Cada 6 horas",REDONDEAR(I47/4,0),SI(F47="Cada 8 horas",REDONDEAR(I47/3,0),SI(F47="Cada 12 horas",REDONDEAR(I47/2,0),SI(F47="Cada 24 horas",I47,SI(F47="Dos veces por semana",I47/2*7,SI(F47="Una vez por semana",I47*7,I47))))))))</f>
        <v/>
      </c>
    </row>
    <row r="48">
      <c r="K48" s="31">
        <f>SI(I48=0,"Sin stock",SI(F48="Cada 4 horas",REDONDEAR(I48/6,0),SI(F48="Cada 6 horas",REDONDEAR(I48/4,0),SI(F48="Cada 8 horas",REDONDEAR(I48/3,0),SI(F48="Cada 12 horas",REDONDEAR(I48/2,0),SI(F48="Cada 24 horas",I48,SI(F48="Dos veces por semana",I48/2*7,SI(F48="Una vez por semana",I48*7,I48))))))))</f>
        <v/>
      </c>
    </row>
    <row r="49">
      <c r="K49" s="31">
        <f>SI(I49=0,"Sin stock",SI(F49="Cada 4 horas",REDONDEAR(I49/6,0),SI(F49="Cada 6 horas",REDONDEAR(I49/4,0),SI(F49="Cada 8 horas",REDONDEAR(I49/3,0),SI(F49="Cada 12 horas",REDONDEAR(I49/2,0),SI(F49="Cada 24 horas",I49,SI(F49="Dos veces por semana",I49/2*7,SI(F49="Una vez por semana",I49*7,I49))))))))</f>
        <v/>
      </c>
    </row>
    <row r="50">
      <c r="K50" s="31">
        <f>SI(I50=0,"Sin stock",SI(F50="Cada 4 horas",REDONDEAR(I50/6,0),SI(F50="Cada 6 horas",REDONDEAR(I50/4,0),SI(F50="Cada 8 horas",REDONDEAR(I50/3,0),SI(F50="Cada 12 horas",REDONDEAR(I50/2,0),SI(F50="Cada 24 horas",I50,SI(F50="Dos veces por semana",I50/2*7,SI(F50="Una vez por semana",I50*7,I50))))))))</f>
        <v/>
      </c>
    </row>
    <row r="51">
      <c r="K51" s="31">
        <f>SI(I51=0,"Sin stock",SI(F51="Cada 4 horas",REDONDEAR(I51/6,0),SI(F51="Cada 6 horas",REDONDEAR(I51/4,0),SI(F51="Cada 8 horas",REDONDEAR(I51/3,0),SI(F51="Cada 12 horas",REDONDEAR(I51/2,0),SI(F51="Cada 24 horas",I51,SI(F51="Dos veces por semana",I51/2*7,SI(F51="Una vez por semana",I51*7,I51))))))))</f>
        <v/>
      </c>
    </row>
    <row r="52">
      <c r="K52" s="31">
        <f>SI(I52=0,"Sin stock",SI(F52="Cada 4 horas",REDONDEAR(I52/6,0),SI(F52="Cada 6 horas",REDONDEAR(I52/4,0),SI(F52="Cada 8 horas",REDONDEAR(I52/3,0),SI(F52="Cada 12 horas",REDONDEAR(I52/2,0),SI(F52="Cada 24 horas",I52,SI(F52="Dos veces por semana",I52/2*7,SI(F52="Una vez por semana",I52*7,I52))))))))</f>
        <v/>
      </c>
    </row>
    <row r="53">
      <c r="K53" s="31">
        <f>SI(I53=0,"Sin stock",SI(F53="Cada 4 horas",REDONDEAR(I53/6,0),SI(F53="Cada 6 horas",REDONDEAR(I53/4,0),SI(F53="Cada 8 horas",REDONDEAR(I53/3,0),SI(F53="Cada 12 horas",REDONDEAR(I53/2,0),SI(F53="Cada 24 horas",I53,SI(F53="Dos veces por semana",I53/2*7,SI(F53="Una vez por semana",I53*7,I53))))))))</f>
        <v/>
      </c>
    </row>
    <row r="54">
      <c r="K54" s="31">
        <f>SI(I54=0,"Sin stock",SI(F54="Cada 4 horas",REDONDEAR(I54/6,0),SI(F54="Cada 6 horas",REDONDEAR(I54/4,0),SI(F54="Cada 8 horas",REDONDEAR(I54/3,0),SI(F54="Cada 12 horas",REDONDEAR(I54/2,0),SI(F54="Cada 24 horas",I54,SI(F54="Dos veces por semana",I54/2*7,SI(F54="Una vez por semana",I54*7,I54))))))))</f>
        <v/>
      </c>
    </row>
  </sheetData>
  <mergeCells count="16">
    <mergeCell ref="R17:U17"/>
    <mergeCell ref="R9:U9"/>
    <mergeCell ref="R5:U5"/>
    <mergeCell ref="R18:U20"/>
    <mergeCell ref="R4:U4"/>
    <mergeCell ref="R13:U13"/>
    <mergeCell ref="R8:U8"/>
    <mergeCell ref="R12:U12"/>
    <mergeCell ref="R14:U14"/>
    <mergeCell ref="A1:P2"/>
    <mergeCell ref="R16:U16"/>
    <mergeCell ref="R7:U7"/>
    <mergeCell ref="R15:U15"/>
    <mergeCell ref="R11:U11"/>
    <mergeCell ref="R6:U6"/>
    <mergeCell ref="R10:U10"/>
  </mergeCells>
  <conditionalFormatting sqref="A5:P54">
    <cfRule type="expression" priority="1" dxfId="5">
      <formula>OR($K5="Sin stock",$K5=0)</formula>
    </cfRule>
    <cfRule type="expression" priority="2" dxfId="6">
      <formula>AND(ISNUMBER($K5),$K5&lt;=3,$K5&gt;0)</formula>
    </cfRule>
    <cfRule type="expression" priority="3" dxfId="1">
      <formula>AND(ISNUMBER($K5),$K5&gt;3,$K5&lt;=7)</formula>
    </cfRule>
    <cfRule type="expression" priority="4" dxfId="0">
      <formula>AND(ISNUMBER($K5),$K5&gt;7,$K5&lt;=14)</formula>
    </cfRule>
    <cfRule type="expression" priority="5" dxfId="2">
      <formula>AND(ISNUMBER($K5),$K5&gt;14)</formula>
    </cfRule>
  </conditionalFormatting>
  <dataValidations count="5">
    <dataValidation sqref="C5:C54" showDropDown="0" showInputMessage="0" showErrorMessage="0" allowBlank="1" type="list">
      <formula1>"Tableta,Cápsula,Jarabe,Suspensión,Inyectable,Crema/Ungüento,Parche,Gotas,Inhalador,Supositorio,Polvo,Ampolla"</formula1>
    </dataValidation>
    <dataValidation sqref="E5:E54" showDropDown="0" showInputMessage="0" showErrorMessage="0" allowBlank="1" type="list">
      <formula1>"Oral,Tópica,Intramuscular,Intravenosa,Subcutánea,Inhalatoria,Oftálmica,Ótica,Sublingual,Rectal,Nasal"</formula1>
    </dataValidation>
    <dataValidation sqref="F5:F54" showDropDown="0" showInputMessage="0" showErrorMessage="0" allowBlank="1" type="list">
      <formula1>"Cada 4 horas,Cada 6 horas,Cada 8 horas,Cada 12 horas,Cada 24 horas,Dos veces por semana,Una vez por semana,Una vez al mes,Según necesidad"</formula1>
    </dataValidation>
    <dataValidation sqref="H5:H54" showDropDown="0" showInputMessage="0" showErrorMessage="0" allowBlank="1" type="list">
      <formula1>"Con agua,Con alimentos,En ayunas,Con leche,Sin restricción,Alejado de comidas,Con jugo de naranja"</formula1>
    </dataValidation>
    <dataValidation sqref="L5:L54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K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9" customWidth="1" min="4" max="4"/>
    <col width="14" customWidth="1" min="5" max="5"/>
    <col width="10" customWidth="1" min="6" max="6"/>
    <col width="14" customWidth="1" min="7" max="7"/>
    <col width="22" customWidth="1" min="8" max="8"/>
    <col width="35" customWidth="1" min="9" max="9"/>
    <col width="16" customWidth="1" min="10" max="10"/>
    <col width="22" customWidth="1" min="11" max="11"/>
  </cols>
  <sheetData>
    <row r="1" ht="22" customHeight="1">
      <c r="A1" s="38" t="inlineStr">
        <is>
          <t>RUTINA DE EJERCICIOS
Mantén tu rutina activa — recuerda cambiarla cada 6 semanas para mejores resultados</t>
        </is>
      </c>
    </row>
    <row r="2" ht="22" customHeight="1"/>
    <row r="3" ht="6" customHeight="1"/>
    <row r="4" ht="28" customHeight="1">
      <c r="A4" s="39" t="inlineStr">
        <is>
          <t>MI RUTINA ACTUAL</t>
        </is>
      </c>
    </row>
    <row r="5" ht="22" customHeight="1">
      <c r="A5" s="5" t="inlineStr">
        <is>
          <t>Nombre de la rutina:</t>
        </is>
      </c>
      <c r="B5" s="6" t="inlineStr">
        <is>
          <t>Full Body Intermedio</t>
        </is>
      </c>
    </row>
    <row r="6" ht="22" customHeight="1">
      <c r="A6" s="5" t="inlineStr">
        <is>
          <t>Fecha inicio de rutina:</t>
        </is>
      </c>
      <c r="B6" s="40" t="n">
        <v>46165</v>
      </c>
    </row>
    <row r="7" ht="22" customHeight="1">
      <c r="A7" s="5" t="inlineStr">
        <is>
          <t>Semana actual de rutina:</t>
        </is>
      </c>
      <c r="B7" s="6">
        <f>SI(B6="","",ENTERO((HOY()-B6)/7)+1)&amp;" de 6"</f>
        <v/>
      </c>
    </row>
    <row r="8" ht="22" customHeight="1">
      <c r="A8" s="5" t="inlineStr">
        <is>
          <t>Fecha de cambio de rutina:</t>
        </is>
      </c>
      <c r="B8" s="40">
        <f>SI(B6="","",B6+42)</f>
        <v/>
      </c>
    </row>
    <row r="9" ht="22" customHeight="1">
      <c r="A9" s="5" t="inlineStr">
        <is>
          <t>Días para cambio:</t>
        </is>
      </c>
      <c r="B9" s="6">
        <f>SI(B6="","",MAX(0,B6+42-HOY()))&amp;" días"</f>
        <v/>
      </c>
      <c r="H9" s="41">
        <f>SI(B6="","",SI(MAX(0,B6+42-HOY())&lt;=7,"⚠ ¡Es hora de renovar tu rutina!",SI(MAX(0,B6+42-HOY())&lt;=14,"Prepara tu nueva rutina pronto","Rutina en curso ✓")))</f>
        <v/>
      </c>
    </row>
    <row r="10" ht="22" customHeight="1">
      <c r="A10" s="5" t="inlineStr">
        <is>
          <t>Entrenador personal:</t>
        </is>
      </c>
      <c r="B10" s="6" t="n"/>
    </row>
    <row r="11" ht="8" customHeight="1"/>
    <row r="12" ht="30" customHeight="1">
      <c r="A12" s="15" t="inlineStr">
        <is>
          <t>#</t>
        </is>
      </c>
      <c r="B12" s="15" t="inlineStr">
        <is>
          <t>GRUPO MUSCULAR</t>
        </is>
      </c>
      <c r="C12" s="15" t="inlineStr">
        <is>
          <t>EJERCICIO</t>
        </is>
      </c>
      <c r="D12" s="15" t="inlineStr">
        <is>
          <t>SERIES</t>
        </is>
      </c>
      <c r="E12" s="15" t="inlineStr">
        <is>
          <t>REPS / TIEMPO</t>
        </is>
      </c>
      <c r="F12" s="15" t="inlineStr">
        <is>
          <t>PESO (kg)</t>
        </is>
      </c>
      <c r="G12" s="15" t="inlineStr">
        <is>
          <t>DESCANSO (seg)</t>
        </is>
      </c>
      <c r="H12" s="15" t="inlineStr">
        <is>
          <t>DÍA(S)</t>
        </is>
      </c>
      <c r="I12" s="15" t="inlineStr">
        <is>
          <t>TÉCNICA / NOTAS</t>
        </is>
      </c>
      <c r="J12" s="15" t="inlineStr">
        <is>
          <t>COMPLETADO HOY</t>
        </is>
      </c>
    </row>
    <row r="13" ht="20" customHeight="1">
      <c r="A13" s="18" t="n">
        <v>1</v>
      </c>
      <c r="B13" s="11" t="inlineStr">
        <is>
          <t>Cuerpo completo</t>
        </is>
      </c>
      <c r="C13" s="11" t="inlineStr">
        <is>
          <t>Sentadilla con barra</t>
        </is>
      </c>
      <c r="D13" s="18" t="n">
        <v>4</v>
      </c>
      <c r="E13" s="18" t="inlineStr">
        <is>
          <t>12</t>
        </is>
      </c>
      <c r="F13" s="18" t="n">
        <v>60</v>
      </c>
      <c r="G13" s="18" t="n">
        <v>90</v>
      </c>
      <c r="H13" s="11" t="inlineStr">
        <is>
          <t>Lu-Mi-Vi</t>
        </is>
      </c>
      <c r="I13" s="42" t="inlineStr">
        <is>
          <t>Rodillas no pasan los pies</t>
        </is>
      </c>
      <c r="J13" s="18" t="n"/>
    </row>
    <row r="14" ht="20" customHeight="1">
      <c r="A14" s="21" t="n">
        <v>2</v>
      </c>
      <c r="B14" s="6" t="inlineStr">
        <is>
          <t>Pecho</t>
        </is>
      </c>
      <c r="C14" s="6" t="inlineStr">
        <is>
          <t>Press de banca plana</t>
        </is>
      </c>
      <c r="D14" s="21" t="n">
        <v>3</v>
      </c>
      <c r="E14" s="21" t="inlineStr">
        <is>
          <t>12</t>
        </is>
      </c>
      <c r="F14" s="21" t="n">
        <v>50</v>
      </c>
      <c r="G14" s="21" t="n">
        <v>90</v>
      </c>
      <c r="H14" s="6" t="inlineStr">
        <is>
          <t>Lu-Mi-Vi</t>
        </is>
      </c>
      <c r="I14" s="43" t="inlineStr">
        <is>
          <t>Bajar la barra al pecho</t>
        </is>
      </c>
      <c r="J14" s="21" t="n"/>
    </row>
    <row r="15" ht="20" customHeight="1">
      <c r="A15" s="18" t="n">
        <v>3</v>
      </c>
      <c r="B15" s="11" t="inlineStr">
        <is>
          <t>Espalda</t>
        </is>
      </c>
      <c r="C15" s="11" t="inlineStr">
        <is>
          <t>Remo con barra</t>
        </is>
      </c>
      <c r="D15" s="18" t="n">
        <v>3</v>
      </c>
      <c r="E15" s="18" t="inlineStr">
        <is>
          <t>12</t>
        </is>
      </c>
      <c r="F15" s="18" t="n">
        <v>40</v>
      </c>
      <c r="G15" s="18" t="n">
        <v>90</v>
      </c>
      <c r="H15" s="11" t="inlineStr">
        <is>
          <t>Lu-Mi-Vi</t>
        </is>
      </c>
      <c r="I15" s="42" t="inlineStr">
        <is>
          <t>Codos pegados al cuerpo</t>
        </is>
      </c>
      <c r="J15" s="18" t="n"/>
    </row>
    <row r="16" ht="20" customHeight="1">
      <c r="A16" s="21" t="n">
        <v>4</v>
      </c>
      <c r="B16" s="6" t="inlineStr">
        <is>
          <t>Hombros</t>
        </is>
      </c>
      <c r="C16" s="6" t="inlineStr">
        <is>
          <t>Press militar con mancuernas</t>
        </is>
      </c>
      <c r="D16" s="21" t="n">
        <v>3</v>
      </c>
      <c r="E16" s="21" t="inlineStr">
        <is>
          <t>12</t>
        </is>
      </c>
      <c r="F16" s="21" t="n">
        <v>16</v>
      </c>
      <c r="G16" s="21" t="n">
        <v>75</v>
      </c>
      <c r="H16" s="6" t="inlineStr">
        <is>
          <t>Lu-Mi-Vi</t>
        </is>
      </c>
      <c r="I16" s="43" t="inlineStr">
        <is>
          <t>No arquear la espalda</t>
        </is>
      </c>
      <c r="J16" s="21" t="n"/>
    </row>
    <row r="17" ht="20" customHeight="1">
      <c r="A17" s="18" t="n">
        <v>5</v>
      </c>
      <c r="B17" s="11" t="inlineStr">
        <is>
          <t>Cuádriceps</t>
        </is>
      </c>
      <c r="C17" s="11" t="inlineStr">
        <is>
          <t>Prensa de piernas</t>
        </is>
      </c>
      <c r="D17" s="18" t="n">
        <v>3</v>
      </c>
      <c r="E17" s="18" t="inlineStr">
        <is>
          <t>15</t>
        </is>
      </c>
      <c r="F17" s="18" t="n">
        <v>80</v>
      </c>
      <c r="G17" s="18" t="n">
        <v>90</v>
      </c>
      <c r="H17" s="11" t="inlineStr">
        <is>
          <t>Lu-Mi-Vi</t>
        </is>
      </c>
      <c r="I17" s="42" t="inlineStr">
        <is>
          <t>Pies al ancho de hombros</t>
        </is>
      </c>
      <c r="J17" s="18" t="n"/>
    </row>
    <row r="18" ht="20" customHeight="1">
      <c r="A18" s="21" t="n">
        <v>6</v>
      </c>
      <c r="B18" s="6" t="inlineStr">
        <is>
          <t>Isquiotibiales</t>
        </is>
      </c>
      <c r="C18" s="6" t="inlineStr">
        <is>
          <t>Curl femoral</t>
        </is>
      </c>
      <c r="D18" s="21" t="n">
        <v>3</v>
      </c>
      <c r="E18" s="21" t="inlineStr">
        <is>
          <t>12</t>
        </is>
      </c>
      <c r="F18" s="21" t="n">
        <v>40</v>
      </c>
      <c r="G18" s="21" t="n">
        <v>75</v>
      </c>
      <c r="H18" s="6" t="inlineStr">
        <is>
          <t>Lu-Mi-Vi</t>
        </is>
      </c>
      <c r="I18" s="43" t="inlineStr">
        <is>
          <t>Movimiento controlado</t>
        </is>
      </c>
      <c r="J18" s="21" t="n"/>
    </row>
    <row r="19" ht="20" customHeight="1">
      <c r="A19" s="18" t="n">
        <v>7</v>
      </c>
      <c r="B19" s="11" t="inlineStr">
        <is>
          <t>Bíceps</t>
        </is>
      </c>
      <c r="C19" s="11" t="inlineStr">
        <is>
          <t>Curl con mancuernas</t>
        </is>
      </c>
      <c r="D19" s="18" t="n">
        <v>3</v>
      </c>
      <c r="E19" s="18" t="inlineStr">
        <is>
          <t>12</t>
        </is>
      </c>
      <c r="F19" s="18" t="n">
        <v>12</v>
      </c>
      <c r="G19" s="18" t="n">
        <v>60</v>
      </c>
      <c r="H19" s="11" t="inlineStr">
        <is>
          <t>Lu-Vi</t>
        </is>
      </c>
      <c r="I19" s="42" t="inlineStr">
        <is>
          <t>Sin balancear el cuerpo</t>
        </is>
      </c>
      <c r="J19" s="18" t="n"/>
    </row>
    <row r="20" ht="20" customHeight="1">
      <c r="A20" s="21" t="n">
        <v>8</v>
      </c>
      <c r="B20" s="6" t="inlineStr">
        <is>
          <t>Tríceps</t>
        </is>
      </c>
      <c r="C20" s="6" t="inlineStr">
        <is>
          <t>Extensión en polea</t>
        </is>
      </c>
      <c r="D20" s="21" t="n">
        <v>3</v>
      </c>
      <c r="E20" s="21" t="inlineStr">
        <is>
          <t>15</t>
        </is>
      </c>
      <c r="F20" s="21" t="n">
        <v>20</v>
      </c>
      <c r="G20" s="21" t="n">
        <v>60</v>
      </c>
      <c r="H20" s="6" t="inlineStr">
        <is>
          <t>Lu-Vi</t>
        </is>
      </c>
      <c r="I20" s="43" t="inlineStr">
        <is>
          <t>Codos fijos</t>
        </is>
      </c>
      <c r="J20" s="21" t="n"/>
    </row>
    <row r="21" ht="20" customHeight="1">
      <c r="A21" s="18" t="n">
        <v>9</v>
      </c>
      <c r="B21" s="11" t="inlineStr">
        <is>
          <t>Abdomen/Core</t>
        </is>
      </c>
      <c r="C21" s="11" t="inlineStr">
        <is>
          <t>Plancha frontal</t>
        </is>
      </c>
      <c r="D21" s="18" t="n">
        <v>3</v>
      </c>
      <c r="E21" s="18" t="inlineStr">
        <is>
          <t>45 seg</t>
        </is>
      </c>
      <c r="F21" s="18" t="inlineStr">
        <is>
          <t>Corporal</t>
        </is>
      </c>
      <c r="G21" s="18" t="n">
        <v>45</v>
      </c>
      <c r="H21" s="11" t="inlineStr">
        <is>
          <t>Lu-Mi-Vi</t>
        </is>
      </c>
      <c r="I21" s="42" t="inlineStr">
        <is>
          <t>Cuerpo recto como tabla</t>
        </is>
      </c>
      <c r="J21" s="18" t="n"/>
    </row>
    <row r="22" ht="20" customHeight="1">
      <c r="A22" s="21" t="n">
        <v>10</v>
      </c>
      <c r="B22" s="6" t="inlineStr">
        <is>
          <t>Cardio</t>
        </is>
      </c>
      <c r="C22" s="6" t="inlineStr">
        <is>
          <t>Caminata en cinta</t>
        </is>
      </c>
      <c r="D22" s="21" t="n">
        <v>1</v>
      </c>
      <c r="E22" s="21" t="inlineStr">
        <is>
          <t>20 min</t>
        </is>
      </c>
      <c r="F22" s="21" t="inlineStr">
        <is>
          <t>Corporal</t>
        </is>
      </c>
      <c r="G22" s="21" t="n">
        <v>0</v>
      </c>
      <c r="H22" s="6" t="inlineStr">
        <is>
          <t>Mi</t>
        </is>
      </c>
      <c r="I22" s="43" t="inlineStr">
        <is>
          <t>Ritmo moderado 5.5km/h</t>
        </is>
      </c>
      <c r="J22" s="21" t="n"/>
    </row>
    <row r="23" ht="20" customHeight="1"/>
    <row r="24" ht="8" customHeight="1"/>
    <row r="25" ht="28" customHeight="1">
      <c r="A25" s="39" t="inlineStr">
        <is>
          <t>REGISTRO MENSUAL</t>
        </is>
      </c>
    </row>
    <row r="26" ht="30" customHeight="1">
      <c r="A26" s="15" t="inlineStr">
        <is>
          <t>SEMANA</t>
        </is>
      </c>
      <c r="B26" s="15" t="inlineStr">
        <is>
          <t>LUN</t>
        </is>
      </c>
      <c r="C26" s="15" t="inlineStr">
        <is>
          <t>MAR</t>
        </is>
      </c>
      <c r="D26" s="15" t="inlineStr">
        <is>
          <t>MIÉ</t>
        </is>
      </c>
      <c r="E26" s="15" t="inlineStr">
        <is>
          <t>JUE</t>
        </is>
      </c>
      <c r="F26" s="15" t="inlineStr">
        <is>
          <t>VIE</t>
        </is>
      </c>
      <c r="G26" s="15" t="inlineStr">
        <is>
          <t>SÁB</t>
        </is>
      </c>
      <c r="H26" s="15" t="inlineStr">
        <is>
          <t>DOM</t>
        </is>
      </c>
    </row>
    <row r="27" ht="20" customHeight="1">
      <c r="A27" s="44" t="inlineStr">
        <is>
          <t>Semana 1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 ht="20" customHeight="1">
      <c r="A28" s="45" t="inlineStr">
        <is>
          <t>Semana 2</t>
        </is>
      </c>
      <c r="B28" s="21" t="n"/>
      <c r="C28" s="21" t="n"/>
      <c r="D28" s="21" t="n"/>
      <c r="E28" s="21" t="n"/>
      <c r="F28" s="21" t="n"/>
      <c r="G28" s="21" t="n"/>
      <c r="H28" s="21" t="n"/>
    </row>
    <row r="29" ht="20" customHeight="1">
      <c r="A29" s="44" t="inlineStr">
        <is>
          <t>Semana 3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 ht="20" customHeight="1">
      <c r="A30" s="45" t="inlineStr">
        <is>
          <t>Semana 4</t>
        </is>
      </c>
      <c r="B30" s="21" t="n"/>
      <c r="C30" s="21" t="n"/>
      <c r="D30" s="21" t="n"/>
      <c r="E30" s="21" t="n"/>
      <c r="F30" s="21" t="n"/>
      <c r="G30" s="21" t="n"/>
      <c r="H30" s="21" t="n"/>
    </row>
    <row r="31" ht="18" customHeight="1">
      <c r="A31" s="46" t="inlineStr">
        <is>
          <t>Escribe: E=Entrenado  D=Descanso  C=Cardio  X=No entrenado</t>
        </is>
      </c>
    </row>
    <row r="32" ht="22" customHeight="1">
      <c r="A32" s="47">
        <f>CONTAR.SI(B27:H30,"E")&amp;" días entrenados este mes"</f>
        <v/>
      </c>
    </row>
  </sheetData>
  <mergeCells count="12">
    <mergeCell ref="A1:J2"/>
    <mergeCell ref="B7:F7"/>
    <mergeCell ref="B6:F6"/>
    <mergeCell ref="H9:K9"/>
    <mergeCell ref="A25:H25"/>
    <mergeCell ref="B10:F10"/>
    <mergeCell ref="B5:F5"/>
    <mergeCell ref="A4:F4"/>
    <mergeCell ref="B8:F8"/>
    <mergeCell ref="A32:H32"/>
    <mergeCell ref="A31:H31"/>
    <mergeCell ref="B9:F9"/>
  </mergeCells>
  <conditionalFormatting sqref="H9:K9">
    <cfRule type="expression" priority="1" dxfId="5">
      <formula>AND(B6&lt;&gt;"",MAX(0,B6+42-TODAY())&lt;=7)</formula>
    </cfRule>
    <cfRule type="expression" priority="2" dxfId="7">
      <formula>AND(B6&lt;&gt;"",MAX(0,B6+42-TODAY())&gt;7,MAX(0,B6+42-TODAY())&lt;=14)</formula>
    </cfRule>
    <cfRule type="expression" priority="3" dxfId="8">
      <formula>AND(B6&lt;&gt;"",MAX(0,B6+42-TODAY())&gt;14)</formula>
    </cfRule>
  </conditionalFormatting>
  <dataValidations count="2">
    <dataValidation sqref="B13:B32" showDropDown="0" showInputMessage="0" showErrorMessage="0" allowBlank="1" type="list">
      <formula1>"Pecho,Espalda,Hombros,Bíceps,Tríceps,Antebrazos,Abdomen/Core,Glúteos,Cuádriceps,Isquiotibiales,Pantorrillas,Cardio,Movilidad/Flexibilidad,Cuerpo completo"</formula1>
    </dataValidation>
    <dataValidation sqref="J13:J32" showDropDown="0" showInputMessage="0" showErrorMessage="0" allowBlank="1" type="list">
      <formula1>"✓ Sí,✗ No,- Día de descanso"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N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32" customWidth="1" min="4" max="4"/>
    <col width="22" customWidth="1" min="5" max="5"/>
    <col width="26" customWidth="1" min="6" max="6"/>
    <col width="11" customWidth="1" min="7" max="7"/>
    <col width="24" customWidth="1" min="8" max="8"/>
    <col width="24" customWidth="1" min="9" max="9"/>
    <col width="14" customWidth="1" min="10" max="10"/>
    <col width="11" customWidth="1" min="11" max="11"/>
    <col width="10" customWidth="1" min="12" max="12"/>
    <col width="10" customWidth="1" min="13" max="13"/>
    <col width="10" customWidth="1" min="14" max="14"/>
  </cols>
  <sheetData>
    <row r="1" ht="22" customHeight="1">
      <c r="A1" s="48" t="inlineStr">
        <is>
          <t>CONTROL DE DIETA Y NUTRICIÓN
Una alimentación balanceada es la base de tu salud — registra, analiza y mejora</t>
        </is>
      </c>
    </row>
    <row r="2" ht="22" customHeight="1"/>
    <row r="3" ht="6" customHeight="1"/>
    <row r="4" ht="28" customHeight="1">
      <c r="A4" s="49" t="inlineStr">
        <is>
          <t>MIS METAS DIARIAS</t>
        </is>
      </c>
      <c r="I4" s="50" t="inlineStr">
        <is>
          <t>GUÍA NUTRICIONAL SALVADOREÑA</t>
        </is>
      </c>
    </row>
    <row r="5" ht="30" customHeight="1">
      <c r="A5" s="51" t="inlineStr">
        <is>
          <t>Calorías objetivo:</t>
        </is>
      </c>
      <c r="C5" s="52" t="n">
        <v>2000</v>
      </c>
      <c r="D5" s="53" t="inlineStr">
        <is>
          <t>kcal / día</t>
        </is>
      </c>
      <c r="I5" s="50" t="inlineStr">
        <is>
          <t>ALIMENTO</t>
        </is>
      </c>
      <c r="J5" s="50" t="inlineStr">
        <is>
          <t>PORCIÓN</t>
        </is>
      </c>
      <c r="K5" s="50" t="inlineStr">
        <is>
          <t>CALORÍAS</t>
        </is>
      </c>
      <c r="L5" s="50" t="inlineStr">
        <is>
          <t>PROT(g)</t>
        </is>
      </c>
      <c r="M5" s="50" t="inlineStr">
        <is>
          <t>CARB(g)</t>
        </is>
      </c>
      <c r="N5" s="50" t="inlineStr">
        <is>
          <t>GRASA(g)</t>
        </is>
      </c>
    </row>
    <row r="6" ht="18" customHeight="1">
      <c r="A6" s="51" t="inlineStr">
        <is>
          <t>Proteína objetivo:</t>
        </is>
      </c>
      <c r="C6" s="52" t="n">
        <v>120</v>
      </c>
      <c r="D6" s="53" t="inlineStr">
        <is>
          <t>g / día</t>
        </is>
      </c>
      <c r="I6" s="11" t="inlineStr">
        <is>
          <t>Pupusa de queso</t>
        </is>
      </c>
      <c r="J6" s="11" t="inlineStr">
        <is>
          <t>1 unidad (80g)</t>
        </is>
      </c>
      <c r="K6" s="54" t="n">
        <v>230</v>
      </c>
      <c r="L6" s="54" t="n">
        <v>8</v>
      </c>
      <c r="M6" s="54" t="n">
        <v>35</v>
      </c>
      <c r="N6" s="54" t="n">
        <v>7</v>
      </c>
    </row>
    <row r="7" ht="18" customHeight="1">
      <c r="A7" s="51" t="inlineStr">
        <is>
          <t>Carbohidratos objetivo:</t>
        </is>
      </c>
      <c r="C7" s="52" t="n">
        <v>250</v>
      </c>
      <c r="D7" s="53" t="inlineStr">
        <is>
          <t>g / día</t>
        </is>
      </c>
      <c r="I7" s="6" t="inlineStr">
        <is>
          <t>Pupusa de frijoles</t>
        </is>
      </c>
      <c r="J7" s="6" t="inlineStr">
        <is>
          <t>1 unidad (80g)</t>
        </is>
      </c>
      <c r="K7" s="55" t="n">
        <v>200</v>
      </c>
      <c r="L7" s="55" t="n">
        <v>7</v>
      </c>
      <c r="M7" s="55" t="n">
        <v>32</v>
      </c>
      <c r="N7" s="55" t="n">
        <v>5</v>
      </c>
    </row>
    <row r="8" ht="18" customHeight="1">
      <c r="A8" s="51" t="inlineStr">
        <is>
          <t>Grasas objetivo:</t>
        </is>
      </c>
      <c r="C8" s="52" t="n">
        <v>65</v>
      </c>
      <c r="D8" s="53" t="inlineStr">
        <is>
          <t>g / día</t>
        </is>
      </c>
      <c r="I8" s="11" t="inlineStr">
        <is>
          <t>Pupusa revuelta</t>
        </is>
      </c>
      <c r="J8" s="11" t="inlineStr">
        <is>
          <t>1 unidad (80g)</t>
        </is>
      </c>
      <c r="K8" s="54" t="n">
        <v>260</v>
      </c>
      <c r="L8" s="54" t="n">
        <v>9</v>
      </c>
      <c r="M8" s="54" t="n">
        <v>36</v>
      </c>
      <c r="N8" s="54" t="n">
        <v>9</v>
      </c>
    </row>
    <row r="9" ht="18" customHeight="1">
      <c r="A9" s="51" t="inlineStr">
        <is>
          <t>Vasos de agua:</t>
        </is>
      </c>
      <c r="C9" s="52" t="n">
        <v>8</v>
      </c>
      <c r="D9" s="53" t="inlineStr">
        <is>
          <t>vasos / día  (1 vaso = 250 ml)</t>
        </is>
      </c>
      <c r="I9" s="6" t="inlineStr">
        <is>
          <t>Arroz blanco cocido</t>
        </is>
      </c>
      <c r="J9" s="6" t="inlineStr">
        <is>
          <t>1 taza (186g)</t>
        </is>
      </c>
      <c r="K9" s="55" t="n">
        <v>206</v>
      </c>
      <c r="L9" s="55" t="n">
        <v>4</v>
      </c>
      <c r="M9" s="55" t="n">
        <v>45</v>
      </c>
      <c r="N9" s="56" t="n">
        <v>0.4</v>
      </c>
    </row>
    <row r="10" ht="18" customHeight="1">
      <c r="A10" s="57" t="inlineStr">
        <is>
          <t>DÍA</t>
        </is>
      </c>
      <c r="B10" s="57" t="inlineStr">
        <is>
          <t>DESAYUNO</t>
        </is>
      </c>
      <c r="C10" s="57" t="inlineStr">
        <is>
          <t>SNACK MAÑANA</t>
        </is>
      </c>
      <c r="D10" s="57" t="inlineStr">
        <is>
          <t>ALMUERZO</t>
        </is>
      </c>
      <c r="E10" s="57" t="inlineStr">
        <is>
          <t>SNACK TARDE</t>
        </is>
      </c>
      <c r="F10" s="57" t="inlineStr">
        <is>
          <t>CENA</t>
        </is>
      </c>
      <c r="G10" s="57" t="inlineStr">
        <is>
          <t>AGUA (vasos)</t>
        </is>
      </c>
      <c r="H10" s="57" t="inlineStr">
        <is>
          <t>NOTA</t>
        </is>
      </c>
      <c r="I10" s="11" t="inlineStr">
        <is>
          <t>Frijoles rojos cocidos</t>
        </is>
      </c>
      <c r="J10" s="11" t="inlineStr">
        <is>
          <t>1/2 taza (90g)</t>
        </is>
      </c>
      <c r="K10" s="54" t="n">
        <v>113</v>
      </c>
      <c r="L10" s="58" t="n">
        <v>7.5</v>
      </c>
      <c r="M10" s="54" t="n">
        <v>20</v>
      </c>
      <c r="N10" s="58" t="n">
        <v>0.5</v>
      </c>
    </row>
    <row r="11" ht="18" customHeight="1">
      <c r="A11" s="44" t="inlineStr">
        <is>
          <t>Lunes</t>
        </is>
      </c>
      <c r="B11" s="42" t="inlineStr">
        <is>
          <t>Huevos revueltos 2u + pan francés 1u + café negro</t>
        </is>
      </c>
      <c r="C11" s="42" t="inlineStr">
        <is>
          <t>Plátano fresco 1 unidad</t>
        </is>
      </c>
      <c r="D11" s="42" t="inlineStr">
        <is>
          <t>Arroz 1 taza + frijoles 1/2 taza + pollo a la plancha 150g + ensalada</t>
        </is>
      </c>
      <c r="E11" s="42" t="inlineStr">
        <is>
          <t>Yogur natural sin azúcar 150g</t>
        </is>
      </c>
      <c r="F11" s="42" t="inlineStr">
        <is>
          <t>Sopa de res + 2 tortillas de maíz</t>
        </is>
      </c>
      <c r="G11" s="18" t="n">
        <v>8</v>
      </c>
      <c r="H11" s="42" t="inlineStr">
        <is>
          <t>Buen día - cumplí todas las comidas</t>
        </is>
      </c>
      <c r="I11" s="6" t="inlineStr">
        <is>
          <t>Pollo a la plancha</t>
        </is>
      </c>
      <c r="J11" s="6" t="inlineStr">
        <is>
          <t>100g</t>
        </is>
      </c>
      <c r="K11" s="55" t="n">
        <v>165</v>
      </c>
      <c r="L11" s="55" t="n">
        <v>31</v>
      </c>
      <c r="M11" s="55" t="n">
        <v>0</v>
      </c>
      <c r="N11" s="56" t="n">
        <v>3.6</v>
      </c>
    </row>
    <row r="12" ht="18" customHeight="1">
      <c r="A12" s="45" t="inlineStr">
        <is>
          <t>Martes</t>
        </is>
      </c>
      <c r="B12" s="43" t="n"/>
      <c r="C12" s="43" t="n"/>
      <c r="D12" s="43" t="n"/>
      <c r="E12" s="43" t="n"/>
      <c r="F12" s="43" t="n"/>
      <c r="G12" s="21" t="n"/>
      <c r="H12" s="43" t="n"/>
      <c r="I12" s="11" t="inlineStr">
        <is>
          <t>Carne de res asada</t>
        </is>
      </c>
      <c r="J12" s="11" t="inlineStr">
        <is>
          <t>100g</t>
        </is>
      </c>
      <c r="K12" s="54" t="n">
        <v>250</v>
      </c>
      <c r="L12" s="54" t="n">
        <v>26</v>
      </c>
      <c r="M12" s="54" t="n">
        <v>0</v>
      </c>
      <c r="N12" s="54" t="n">
        <v>16</v>
      </c>
    </row>
    <row r="13" ht="18" customHeight="1">
      <c r="A13" s="44" t="inlineStr">
        <is>
          <t>Miércoles</t>
        </is>
      </c>
      <c r="B13" s="42" t="n"/>
      <c r="C13" s="42" t="n"/>
      <c r="D13" s="42" t="n"/>
      <c r="E13" s="42" t="n"/>
      <c r="F13" s="42" t="n"/>
      <c r="G13" s="18" t="n"/>
      <c r="H13" s="42" t="n"/>
      <c r="I13" s="6" t="inlineStr">
        <is>
          <t>Huevo entero</t>
        </is>
      </c>
      <c r="J13" s="6" t="inlineStr">
        <is>
          <t>1 unidad (60g)</t>
        </is>
      </c>
      <c r="K13" s="55" t="n">
        <v>78</v>
      </c>
      <c r="L13" s="55" t="n">
        <v>6</v>
      </c>
      <c r="M13" s="56" t="n">
        <v>0.6</v>
      </c>
      <c r="N13" s="55" t="n">
        <v>5</v>
      </c>
    </row>
    <row r="14" ht="18" customHeight="1">
      <c r="A14" s="45" t="inlineStr">
        <is>
          <t>Jueves</t>
        </is>
      </c>
      <c r="B14" s="43" t="n"/>
      <c r="C14" s="43" t="n"/>
      <c r="D14" s="43" t="n"/>
      <c r="E14" s="43" t="n"/>
      <c r="F14" s="43" t="n"/>
      <c r="G14" s="21" t="n"/>
      <c r="H14" s="43" t="n"/>
      <c r="I14" s="11" t="inlineStr">
        <is>
          <t>Pan francés</t>
        </is>
      </c>
      <c r="J14" s="11" t="inlineStr">
        <is>
          <t>1 unidad (40g)</t>
        </is>
      </c>
      <c r="K14" s="54" t="n">
        <v>120</v>
      </c>
      <c r="L14" s="58" t="n">
        <v>3.5</v>
      </c>
      <c r="M14" s="54" t="n">
        <v>23</v>
      </c>
      <c r="N14" s="58" t="n">
        <v>1.5</v>
      </c>
    </row>
    <row r="15" ht="18" customHeight="1">
      <c r="A15" s="44" t="inlineStr">
        <is>
          <t>Viernes</t>
        </is>
      </c>
      <c r="B15" s="42" t="n"/>
      <c r="C15" s="42" t="n"/>
      <c r="D15" s="42" t="n"/>
      <c r="E15" s="42" t="n"/>
      <c r="F15" s="42" t="n"/>
      <c r="G15" s="18" t="n"/>
      <c r="H15" s="42" t="n"/>
      <c r="I15" s="6" t="inlineStr">
        <is>
          <t>Plátano fresco</t>
        </is>
      </c>
      <c r="J15" s="6" t="inlineStr">
        <is>
          <t>1 unidad (120g)</t>
        </is>
      </c>
      <c r="K15" s="55" t="n">
        <v>105</v>
      </c>
      <c r="L15" s="56" t="n">
        <v>1.3</v>
      </c>
      <c r="M15" s="55" t="n">
        <v>27</v>
      </c>
      <c r="N15" s="56" t="n">
        <v>0.4</v>
      </c>
    </row>
    <row r="16" ht="18" customHeight="1">
      <c r="A16" s="45" t="inlineStr">
        <is>
          <t>Sábado</t>
        </is>
      </c>
      <c r="B16" s="43" t="n"/>
      <c r="C16" s="43" t="n"/>
      <c r="D16" s="43" t="n"/>
      <c r="E16" s="43" t="n"/>
      <c r="F16" s="43" t="n"/>
      <c r="G16" s="21" t="n"/>
      <c r="H16" s="43" t="n"/>
      <c r="I16" s="11" t="inlineStr">
        <is>
          <t>Plátano frito maduro</t>
        </is>
      </c>
      <c r="J16" s="11" t="inlineStr">
        <is>
          <t>1 unidad (100g)</t>
        </is>
      </c>
      <c r="K16" s="54" t="n">
        <v>180</v>
      </c>
      <c r="L16" s="54" t="n">
        <v>1</v>
      </c>
      <c r="M16" s="54" t="n">
        <v>35</v>
      </c>
      <c r="N16" s="54" t="n">
        <v>5</v>
      </c>
    </row>
    <row r="17" ht="18" customHeight="1">
      <c r="A17" s="44" t="inlineStr">
        <is>
          <t>Domingo</t>
        </is>
      </c>
      <c r="B17" s="42" t="n"/>
      <c r="C17" s="42" t="n"/>
      <c r="D17" s="42" t="n"/>
      <c r="E17" s="42" t="n"/>
      <c r="F17" s="42" t="n"/>
      <c r="G17" s="18" t="n"/>
      <c r="H17" s="42" t="n"/>
      <c r="I17" s="6" t="inlineStr">
        <is>
          <t>Yuca cocida</t>
        </is>
      </c>
      <c r="J17" s="6" t="inlineStr">
        <is>
          <t>100g</t>
        </is>
      </c>
      <c r="K17" s="55" t="n">
        <v>159</v>
      </c>
      <c r="L17" s="56" t="n">
        <v>1.4</v>
      </c>
      <c r="M17" s="55" t="n">
        <v>38</v>
      </c>
      <c r="N17" s="56" t="n">
        <v>0.3</v>
      </c>
    </row>
    <row r="18" ht="18" customHeight="1">
      <c r="I18" s="11" t="inlineStr">
        <is>
          <t>Aguacate</t>
        </is>
      </c>
      <c r="J18" s="11" t="inlineStr">
        <is>
          <t>1/4 de fruto</t>
        </is>
      </c>
      <c r="K18" s="54" t="n">
        <v>80</v>
      </c>
      <c r="L18" s="54" t="n">
        <v>1</v>
      </c>
      <c r="M18" s="54" t="n">
        <v>4</v>
      </c>
      <c r="N18" s="54" t="n">
        <v>7</v>
      </c>
    </row>
    <row r="19" ht="18" customHeight="1">
      <c r="I19" s="6" t="inlineStr">
        <is>
          <t>Tortilla de maíz</t>
        </is>
      </c>
      <c r="J19" s="6" t="inlineStr">
        <is>
          <t>1 unidad (25g)</t>
        </is>
      </c>
      <c r="K19" s="55" t="n">
        <v>57</v>
      </c>
      <c r="L19" s="56" t="n">
        <v>1.5</v>
      </c>
      <c r="M19" s="55" t="n">
        <v>12</v>
      </c>
      <c r="N19" s="56" t="n">
        <v>0.7</v>
      </c>
    </row>
    <row r="20" ht="18" customHeight="1">
      <c r="I20" s="11" t="inlineStr">
        <is>
          <t>Leche entera</t>
        </is>
      </c>
      <c r="J20" s="11" t="inlineStr">
        <is>
          <t>1 vaso (240ml)</t>
        </is>
      </c>
      <c r="K20" s="54" t="n">
        <v>149</v>
      </c>
      <c r="L20" s="54" t="n">
        <v>8</v>
      </c>
      <c r="M20" s="54" t="n">
        <v>11</v>
      </c>
      <c r="N20" s="54" t="n">
        <v>8</v>
      </c>
    </row>
    <row r="21" ht="18" customHeight="1">
      <c r="I21" s="6" t="inlineStr">
        <is>
          <t>Queso duro seco</t>
        </is>
      </c>
      <c r="J21" s="6" t="inlineStr">
        <is>
          <t>30g</t>
        </is>
      </c>
      <c r="K21" s="55" t="n">
        <v>110</v>
      </c>
      <c r="L21" s="55" t="n">
        <v>7</v>
      </c>
      <c r="M21" s="56" t="n">
        <v>0.5</v>
      </c>
      <c r="N21" s="55" t="n">
        <v>9</v>
      </c>
    </row>
    <row r="22" ht="18" customHeight="1">
      <c r="I22" s="11" t="inlineStr">
        <is>
          <t>Atún en agua</t>
        </is>
      </c>
      <c r="J22" s="11" t="inlineStr">
        <is>
          <t>1 lata (140g)</t>
        </is>
      </c>
      <c r="K22" s="54" t="n">
        <v>130</v>
      </c>
      <c r="L22" s="54" t="n">
        <v>28</v>
      </c>
      <c r="M22" s="54" t="n">
        <v>0</v>
      </c>
      <c r="N22" s="54" t="n">
        <v>1</v>
      </c>
    </row>
    <row r="23" ht="18" customHeight="1">
      <c r="I23" s="6" t="inlineStr">
        <is>
          <t>Tomate mediano</t>
        </is>
      </c>
      <c r="J23" s="6" t="inlineStr">
        <is>
          <t>1 unidad (130g)</t>
        </is>
      </c>
      <c r="K23" s="55" t="n">
        <v>22</v>
      </c>
      <c r="L23" s="55" t="n">
        <v>1</v>
      </c>
      <c r="M23" s="55" t="n">
        <v>5</v>
      </c>
      <c r="N23" s="56" t="n">
        <v>0.2</v>
      </c>
    </row>
    <row r="24" ht="18" customHeight="1">
      <c r="I24" s="11" t="inlineStr">
        <is>
          <t>Zanahoria</t>
        </is>
      </c>
      <c r="J24" s="11" t="inlineStr">
        <is>
          <t>1 mediana (60g)</t>
        </is>
      </c>
      <c r="K24" s="54" t="n">
        <v>25</v>
      </c>
      <c r="L24" s="58" t="n">
        <v>0.6</v>
      </c>
      <c r="M24" s="54" t="n">
        <v>6</v>
      </c>
      <c r="N24" s="58" t="n">
        <v>0.1</v>
      </c>
    </row>
    <row r="25" ht="18" customHeight="1">
      <c r="I25" s="6" t="inlineStr">
        <is>
          <t>Naranja</t>
        </is>
      </c>
      <c r="J25" s="6" t="inlineStr">
        <is>
          <t>1 unidad (130g)</t>
        </is>
      </c>
      <c r="K25" s="55" t="n">
        <v>62</v>
      </c>
      <c r="L25" s="56" t="n">
        <v>1.2</v>
      </c>
      <c r="M25" s="55" t="n">
        <v>15</v>
      </c>
      <c r="N25" s="56" t="n">
        <v>0.2</v>
      </c>
    </row>
  </sheetData>
  <mergeCells count="13">
    <mergeCell ref="I4:N4"/>
    <mergeCell ref="D5:F5"/>
    <mergeCell ref="A7:B7"/>
    <mergeCell ref="A8:B8"/>
    <mergeCell ref="D8:F8"/>
    <mergeCell ref="A9:B9"/>
    <mergeCell ref="A5:B5"/>
    <mergeCell ref="D9:F9"/>
    <mergeCell ref="A4:F4"/>
    <mergeCell ref="D7:F7"/>
    <mergeCell ref="A1:H2"/>
    <mergeCell ref="D6:F6"/>
    <mergeCell ref="A6:B6"/>
  </mergeCells>
  <dataValidations count="1">
    <dataValidation sqref="G11:G17" showDropDown="0" showInputMessage="0" showErrorMessage="0" allowBlank="1" type="list">
      <formula1>"1,2,3,4,5,6,7,8,9,10"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16" customWidth="1" min="4" max="4"/>
    <col width="26" customWidth="1" min="5" max="5"/>
    <col width="20" customWidth="1" min="6" max="6"/>
    <col width="30" customWidth="1" min="7" max="7"/>
  </cols>
  <sheetData>
    <row r="1" ht="22" customHeight="1">
      <c r="A1" s="59" t="inlineStr">
        <is>
          <t>HISTORIAL CLÍNICO PERSONAL
Documento de referencia médica — Comparte con tu médico en cada consulta</t>
        </is>
      </c>
    </row>
    <row r="2" ht="22" customHeight="1"/>
    <row r="3" ht="6" customHeight="1"/>
    <row r="4" ht="28" customHeight="1">
      <c r="A4" s="60" t="inlineStr">
        <is>
          <t>DATOS MÉDICOS BÁSICOS</t>
        </is>
      </c>
    </row>
    <row r="5" ht="24" customHeight="1">
      <c r="A5" s="5" t="inlineStr">
        <is>
          <t>Grupo sanguíneo:</t>
        </is>
      </c>
      <c r="B5" s="21" t="n"/>
    </row>
    <row r="6" ht="24" customHeight="1">
      <c r="A6" s="5" t="inlineStr">
        <is>
          <t>Factor Rh:</t>
        </is>
      </c>
      <c r="B6" s="21" t="n"/>
    </row>
    <row r="7" ht="24" customHeight="1">
      <c r="A7" s="5" t="inlineStr">
        <is>
          <t>Peso actual (kg):</t>
        </is>
      </c>
      <c r="B7" s="21" t="n"/>
    </row>
    <row r="8" ht="24" customHeight="1">
      <c r="A8" s="5" t="inlineStr">
        <is>
          <t>Talla (cm):</t>
        </is>
      </c>
      <c r="B8" s="21" t="n"/>
    </row>
    <row r="9" ht="24" customHeight="1">
      <c r="A9" s="5" t="inlineStr">
        <is>
          <t>IMC:</t>
        </is>
      </c>
      <c r="B9" s="21">
        <f>SI(D7="","",REDONDEAR(D7/((D8/100)^2),1))</f>
        <v/>
      </c>
    </row>
    <row r="10" ht="24" customHeight="1">
      <c r="A10" s="5" t="inlineStr">
        <is>
          <t>Clasificación IMC (OMS):</t>
        </is>
      </c>
      <c r="B10" s="21">
        <f>SI(D9="","",SI(D9&lt;18.5,"Bajo peso",SI(D9&lt;25,"Normal",SI(D9&lt;30,"Sobrepeso","Obesidad"))))</f>
        <v/>
      </c>
    </row>
    <row r="11" ht="24" customHeight="1">
      <c r="A11" s="5" t="inlineStr">
        <is>
          <t>Presión arterial habitual:</t>
        </is>
      </c>
      <c r="B11" s="21" t="n"/>
      <c r="D11" s="53" t="inlineStr">
        <is>
          <t>ej: 120/80 mmHg</t>
        </is>
      </c>
    </row>
    <row r="12" ht="24" customHeight="1">
      <c r="A12" s="5" t="inlineStr">
        <is>
          <t>Frecuencia cardíaca:</t>
        </is>
      </c>
      <c r="B12" s="21" t="n"/>
      <c r="D12" s="53" t="inlineStr">
        <is>
          <t>lpm en reposo</t>
        </is>
      </c>
    </row>
    <row r="13" ht="24" customHeight="1">
      <c r="A13" s="5" t="inlineStr">
        <is>
          <t>Glucosa en ayunas:</t>
        </is>
      </c>
      <c r="B13" s="21" t="n"/>
      <c r="D13" s="53" t="inlineStr">
        <is>
          <t>mg/dL</t>
        </is>
      </c>
    </row>
    <row r="14" ht="24" customHeight="1">
      <c r="A14" s="5" t="inlineStr">
        <is>
          <t>Alergias medicamentosas:</t>
        </is>
      </c>
      <c r="B14" s="21" t="n"/>
    </row>
    <row r="15" ht="8" customHeight="1"/>
    <row r="16" ht="28" customHeight="1">
      <c r="A16" s="61" t="inlineStr">
        <is>
          <t>SEGUIMIENTO DE SIGNOS VITALES</t>
        </is>
      </c>
    </row>
    <row r="17" ht="30" customHeight="1">
      <c r="A17" s="50" t="inlineStr">
        <is>
          <t>FECHA</t>
        </is>
      </c>
      <c r="B17" s="50" t="inlineStr">
        <is>
          <t>PESO (kg)</t>
        </is>
      </c>
      <c r="C17" s="50" t="inlineStr">
        <is>
          <t>P. SISTÓLICA</t>
        </is>
      </c>
      <c r="D17" s="50" t="inlineStr">
        <is>
          <t>P. DIASTÓLICA</t>
        </is>
      </c>
      <c r="E17" s="50" t="inlineStr">
        <is>
          <t>GLUCOSA (mg/dL)</t>
        </is>
      </c>
      <c r="F17" s="50" t="inlineStr">
        <is>
          <t>FREC. CARDÍACA</t>
        </is>
      </c>
      <c r="G17" s="50" t="inlineStr">
        <is>
          <t>NOTAS</t>
        </is>
      </c>
    </row>
    <row r="18" ht="20" customHeight="1">
      <c r="A18" s="19" t="n">
        <v>46027</v>
      </c>
      <c r="B18" s="18" t="n">
        <v>74.2</v>
      </c>
      <c r="C18" s="18" t="n">
        <v>125</v>
      </c>
      <c r="D18" s="18" t="n">
        <v>82</v>
      </c>
      <c r="E18" s="18" t="n">
        <v>112</v>
      </c>
      <c r="F18" s="18" t="n">
        <v>76</v>
      </c>
      <c r="G18" s="11" t="inlineStr">
        <is>
          <t>Control rutinario</t>
        </is>
      </c>
    </row>
    <row r="19" ht="20" customHeight="1">
      <c r="A19" s="22" t="n">
        <v>46058</v>
      </c>
      <c r="B19" s="21" t="n">
        <v>73.8</v>
      </c>
      <c r="C19" s="21" t="n">
        <v>122</v>
      </c>
      <c r="D19" s="21" t="n">
        <v>80</v>
      </c>
      <c r="E19" s="21" t="n">
        <v>108</v>
      </c>
      <c r="F19" s="21" t="n">
        <v>74</v>
      </c>
      <c r="G19" s="6" t="inlineStr">
        <is>
          <t>Después de ejercicio</t>
        </is>
      </c>
    </row>
    <row r="20" ht="20" customHeight="1">
      <c r="A20" s="19" t="n">
        <v>46086</v>
      </c>
      <c r="B20" s="18" t="n">
        <v>74</v>
      </c>
      <c r="C20" s="18" t="n">
        <v>120</v>
      </c>
      <c r="D20" s="18" t="n">
        <v>80</v>
      </c>
      <c r="E20" s="18" t="n">
        <v>115</v>
      </c>
      <c r="F20" s="18" t="n">
        <v>72</v>
      </c>
      <c r="G20" s="11" t="inlineStr">
        <is>
          <t>Ayunas, 8am</t>
        </is>
      </c>
    </row>
    <row r="21" ht="20" customHeight="1">
      <c r="A21" s="22" t="n">
        <v>46117</v>
      </c>
      <c r="B21" s="21" t="n">
        <v>73.5</v>
      </c>
      <c r="C21" s="21" t="n">
        <v>121</v>
      </c>
      <c r="D21" s="21" t="n">
        <v>81</v>
      </c>
      <c r="E21" s="21" t="n">
        <v>98</v>
      </c>
      <c r="F21" s="21" t="n">
        <v>75</v>
      </c>
      <c r="G21" s="6" t="inlineStr">
        <is>
          <t>Buen control glucémico</t>
        </is>
      </c>
    </row>
    <row r="22" ht="20" customHeight="1">
      <c r="A22" s="19" t="n">
        <v>46147</v>
      </c>
      <c r="B22" s="18" t="n">
        <v>72.90000000000001</v>
      </c>
      <c r="C22" s="18" t="n">
        <v>120</v>
      </c>
      <c r="D22" s="18" t="n">
        <v>80</v>
      </c>
      <c r="E22" s="18" t="n">
        <v>95</v>
      </c>
      <c r="F22" s="18" t="n">
        <v>73</v>
      </c>
      <c r="G22" s="11" t="inlineStr">
        <is>
          <t>Mes de mejor adherencia</t>
        </is>
      </c>
    </row>
    <row r="23" ht="8" customHeight="1"/>
    <row r="24" ht="28" customHeight="1">
      <c r="A24" s="62" t="inlineStr">
        <is>
          <t>REGISTRO DE VACUNAS</t>
        </is>
      </c>
    </row>
    <row r="25" ht="30" customHeight="1">
      <c r="A25" s="63" t="inlineStr">
        <is>
          <t>VACUNA</t>
        </is>
      </c>
      <c r="B25" s="63" t="inlineStr">
        <is>
          <t>DOSIS</t>
        </is>
      </c>
      <c r="C25" s="63" t="inlineStr">
        <is>
          <t>FECHA APLICACIÓN</t>
        </is>
      </c>
      <c r="D25" s="63" t="inlineStr">
        <is>
          <t>PRÓXIMA DOSIS</t>
        </is>
      </c>
      <c r="E25" s="63" t="inlineStr">
        <is>
          <t>LUGAR DE APLICACIÓN</t>
        </is>
      </c>
    </row>
    <row r="26" ht="20" customHeight="1">
      <c r="A26" s="11" t="inlineStr">
        <is>
          <t>COVID-19</t>
        </is>
      </c>
      <c r="B26" s="18" t="inlineStr">
        <is>
          <t>Completa (2 dosis)</t>
        </is>
      </c>
      <c r="C26" s="19" t="n">
        <v>44423</v>
      </c>
      <c r="D26" s="18" t="inlineStr">
        <is>
          <t>No requerida / Refuerzo según indicación</t>
        </is>
      </c>
      <c r="E26" s="18" t="inlineStr">
        <is>
          <t>ISSS</t>
        </is>
      </c>
    </row>
    <row r="27" ht="20" customHeight="1">
      <c r="A27" s="6" t="inlineStr">
        <is>
          <t>Influenza</t>
        </is>
      </c>
      <c r="B27" s="21" t="inlineStr">
        <is>
          <t>Anual</t>
        </is>
      </c>
      <c r="C27" s="22" t="n">
        <v>46113</v>
      </c>
      <c r="D27" s="22" t="n">
        <v>46478</v>
      </c>
      <c r="E27" s="21" t="inlineStr">
        <is>
          <t>Clínica comunal</t>
        </is>
      </c>
    </row>
    <row r="28" ht="20" customHeight="1">
      <c r="A28" s="11" t="inlineStr">
        <is>
          <t>Tétanos (DT)</t>
        </is>
      </c>
      <c r="B28" s="18" t="inlineStr">
        <is>
          <t>Refuerzo</t>
        </is>
      </c>
      <c r="C28" s="19" t="n">
        <v>44967</v>
      </c>
      <c r="D28" s="19" t="n">
        <v>48620</v>
      </c>
      <c r="E28" s="18" t="inlineStr">
        <is>
          <t>Hospital Nacional</t>
        </is>
      </c>
    </row>
    <row r="29" ht="20" customHeight="1">
      <c r="A29" s="6" t="inlineStr">
        <is>
          <t>Hepatitis B</t>
        </is>
      </c>
      <c r="B29" s="21" t="inlineStr">
        <is>
          <t>Completa (3 dosis)</t>
        </is>
      </c>
      <c r="C29" s="21" t="inlineStr">
        <is>
          <t>2005</t>
        </is>
      </c>
      <c r="D29" s="21" t="inlineStr">
        <is>
          <t>No requerida</t>
        </is>
      </c>
      <c r="E29" s="21" t="inlineStr">
        <is>
          <t>MSPAS</t>
        </is>
      </c>
    </row>
    <row r="30" ht="8" customHeight="1"/>
    <row r="31" ht="28" customHeight="1">
      <c r="A31" s="39" t="inlineStr">
        <is>
          <t>CIRUGÍAS Y PROCEDIMIENTOS</t>
        </is>
      </c>
    </row>
    <row r="32" ht="30" customHeight="1">
      <c r="A32" s="64" t="inlineStr">
        <is>
          <t>FECHA</t>
        </is>
      </c>
      <c r="B32" s="64" t="inlineStr">
        <is>
          <t>PROCEDIMIENTO</t>
        </is>
      </c>
      <c r="C32" s="64" t="inlineStr">
        <is>
          <t>CIRUJANO</t>
        </is>
      </c>
      <c r="D32" s="64" t="inlineStr">
        <is>
          <t>HOSPITAL</t>
        </is>
      </c>
      <c r="E32" s="64" t="inlineStr">
        <is>
          <t>RESULTADO</t>
        </is>
      </c>
      <c r="F32" s="64" t="inlineStr">
        <is>
          <t>NOTAS</t>
        </is>
      </c>
    </row>
    <row r="33" ht="20" customHeight="1">
      <c r="A33" s="12" t="n"/>
      <c r="B33" s="12" t="n"/>
      <c r="C33" s="12" t="n"/>
      <c r="D33" s="12" t="n"/>
      <c r="E33" s="12" t="n"/>
      <c r="F33" s="12" t="n"/>
    </row>
    <row r="34" ht="20" customHeight="1">
      <c r="A34" s="13" t="n"/>
      <c r="B34" s="13" t="n"/>
      <c r="C34" s="13" t="n"/>
      <c r="D34" s="13" t="n"/>
      <c r="E34" s="13" t="n"/>
      <c r="F34" s="13" t="n"/>
    </row>
    <row r="35" ht="20" customHeight="1">
      <c r="A35" s="12" t="n"/>
      <c r="B35" s="12" t="n"/>
      <c r="C35" s="12" t="n"/>
      <c r="D35" s="12" t="n"/>
      <c r="E35" s="12" t="n"/>
      <c r="F35" s="12" t="n"/>
    </row>
    <row r="36" ht="20" customHeight="1">
      <c r="A36" s="13" t="n"/>
      <c r="B36" s="13" t="n"/>
      <c r="C36" s="13" t="n"/>
      <c r="D36" s="13" t="n"/>
      <c r="E36" s="13" t="n"/>
      <c r="F36" s="13" t="n"/>
    </row>
    <row r="37" ht="20" customHeight="1">
      <c r="A37" s="12" t="n"/>
      <c r="B37" s="12" t="n"/>
      <c r="C37" s="12" t="n"/>
      <c r="D37" s="12" t="n"/>
      <c r="E37" s="12" t="n"/>
      <c r="F37" s="12" t="n"/>
    </row>
    <row r="38" ht="8" customHeight="1"/>
    <row r="39" ht="28" customHeight="1">
      <c r="A39" s="65" t="inlineStr">
        <is>
          <t>ANTECEDENTES FAMILIARES</t>
        </is>
      </c>
    </row>
    <row r="40" ht="30" customHeight="1">
      <c r="A40" s="66" t="inlineStr">
        <is>
          <t>FAMILIAR</t>
        </is>
      </c>
      <c r="B40" s="66" t="inlineStr">
        <is>
          <t>CONDICIÓN</t>
        </is>
      </c>
      <c r="C40" s="66" t="inlineStr">
        <is>
          <t>EDAD DIAGNÓSTICO</t>
        </is>
      </c>
      <c r="D40" s="66" t="inlineStr">
        <is>
          <t>OBSERVACIONES</t>
        </is>
      </c>
    </row>
    <row r="41" ht="20" customHeight="1">
      <c r="A41" s="67" t="inlineStr">
        <is>
          <t>Padre</t>
        </is>
      </c>
      <c r="B41" s="6" t="n"/>
      <c r="C41" s="6" t="n"/>
      <c r="D41" s="43" t="n"/>
    </row>
    <row r="42" ht="20" customHeight="1">
      <c r="A42" s="68" t="inlineStr">
        <is>
          <t>Madre</t>
        </is>
      </c>
      <c r="B42" s="11" t="n"/>
      <c r="C42" s="11" t="n"/>
      <c r="D42" s="42" t="n"/>
    </row>
    <row r="43" ht="20" customHeight="1">
      <c r="A43" s="67" t="inlineStr">
        <is>
          <t>Abuelo paterno</t>
        </is>
      </c>
      <c r="B43" s="6" t="n"/>
      <c r="C43" s="6" t="n"/>
      <c r="D43" s="43" t="n"/>
    </row>
    <row r="44" ht="20" customHeight="1">
      <c r="A44" s="68" t="inlineStr">
        <is>
          <t>Abuela paterna</t>
        </is>
      </c>
      <c r="B44" s="11" t="n"/>
      <c r="C44" s="11" t="n"/>
      <c r="D44" s="42" t="n"/>
    </row>
    <row r="45" ht="20" customHeight="1">
      <c r="A45" s="67" t="inlineStr">
        <is>
          <t>Abuelo materno</t>
        </is>
      </c>
      <c r="B45" s="6" t="n"/>
      <c r="C45" s="6" t="n"/>
      <c r="D45" s="43" t="n"/>
    </row>
    <row r="46" ht="20" customHeight="1">
      <c r="A46" s="68" t="inlineStr">
        <is>
          <t>Abuela materna</t>
        </is>
      </c>
      <c r="B46" s="11" t="n"/>
      <c r="C46" s="11" t="n"/>
      <c r="D46" s="42" t="n"/>
    </row>
    <row r="47" ht="20" customHeight="1">
      <c r="A47" s="67" t="inlineStr">
        <is>
          <t>Hermano/a 1</t>
        </is>
      </c>
      <c r="B47" s="6" t="n"/>
      <c r="C47" s="6" t="n"/>
      <c r="D47" s="43" t="n"/>
    </row>
    <row r="48" ht="8" customHeight="1"/>
    <row r="49" ht="28" customHeight="1">
      <c r="A49" s="2" t="inlineStr">
        <is>
          <t>MIS MÉDICOS TRATANTES</t>
        </is>
      </c>
    </row>
    <row r="50" ht="30" customHeight="1">
      <c r="A50" s="17" t="inlineStr">
        <is>
          <t>ESPECIALIDAD</t>
        </is>
      </c>
      <c r="B50" s="17" t="inlineStr">
        <is>
          <t>NOMBRE COMPLETO</t>
        </is>
      </c>
      <c r="C50" s="17" t="inlineStr">
        <is>
          <t>CLÍNICA / HOSPITAL</t>
        </is>
      </c>
      <c r="D50" s="17" t="inlineStr">
        <is>
          <t>TELÉFONO</t>
        </is>
      </c>
      <c r="E50" s="17" t="inlineStr">
        <is>
          <t>CORREO</t>
        </is>
      </c>
      <c r="F50" s="17" t="inlineStr">
        <is>
          <t>FREC. VISITA</t>
        </is>
      </c>
    </row>
    <row r="51" ht="20" customHeight="1">
      <c r="A51" s="6" t="inlineStr">
        <is>
          <t>Medicina General</t>
        </is>
      </c>
      <c r="B51" s="6" t="inlineStr">
        <is>
          <t>Dr. Carlos Mendoza</t>
        </is>
      </c>
      <c r="C51" s="6" t="inlineStr">
        <is>
          <t>Hospital Nacional Rosales</t>
        </is>
      </c>
      <c r="D51" s="21" t="inlineStr">
        <is>
          <t>2222-3333</t>
        </is>
      </c>
      <c r="E51" s="6" t="inlineStr"/>
      <c r="F51" s="21" t="inlineStr">
        <is>
          <t>Mensual</t>
        </is>
      </c>
    </row>
    <row r="52" ht="20" customHeight="1">
      <c r="A52" s="11" t="inlineStr">
        <is>
          <t>Endocrinología</t>
        </is>
      </c>
      <c r="B52" s="11" t="inlineStr">
        <is>
          <t>Dra. María García</t>
        </is>
      </c>
      <c r="C52" s="11" t="inlineStr">
        <is>
          <t>Clínica Médica San Salvador</t>
        </is>
      </c>
      <c r="D52" s="18" t="inlineStr">
        <is>
          <t>2333-4444</t>
        </is>
      </c>
      <c r="E52" s="11" t="inlineStr"/>
      <c r="F52" s="18" t="inlineStr">
        <is>
          <t>Cada 3 meses</t>
        </is>
      </c>
    </row>
    <row r="53" ht="20" customHeight="1">
      <c r="A53" s="6" t="inlineStr">
        <is>
          <t>Cardiología</t>
        </is>
      </c>
      <c r="B53" s="6" t="inlineStr">
        <is>
          <t>Dr. José Rivera</t>
        </is>
      </c>
      <c r="C53" s="6" t="inlineStr">
        <is>
          <t>ISSS Hospital Médico Quirúrgico</t>
        </is>
      </c>
      <c r="D53" s="21" t="inlineStr">
        <is>
          <t>2444-5555</t>
        </is>
      </c>
      <c r="E53" s="6" t="inlineStr"/>
      <c r="F53" s="21" t="inlineStr">
        <is>
          <t>Cada 6 meses</t>
        </is>
      </c>
    </row>
    <row r="54" ht="20" customHeight="1">
      <c r="A54" s="69" t="n"/>
      <c r="B54" s="69" t="n"/>
      <c r="C54" s="69" t="n"/>
      <c r="D54" s="69" t="n"/>
      <c r="E54" s="69" t="n"/>
      <c r="F54" s="69" t="n"/>
    </row>
    <row r="55" ht="20" customHeight="1">
      <c r="A55" s="70" t="n"/>
      <c r="B55" s="70" t="n"/>
      <c r="C55" s="70" t="n"/>
      <c r="D55" s="70" t="n"/>
      <c r="E55" s="70" t="n"/>
      <c r="F55" s="70" t="n"/>
    </row>
    <row r="56" ht="20" customHeight="1">
      <c r="A56" s="69" t="n"/>
      <c r="B56" s="69" t="n"/>
      <c r="C56" s="69" t="n"/>
      <c r="D56" s="69" t="n"/>
      <c r="E56" s="69" t="n"/>
      <c r="F56" s="69" t="n"/>
    </row>
    <row r="57" ht="20" customHeight="1">
      <c r="A57" s="70" t="n"/>
      <c r="B57" s="70" t="n"/>
      <c r="C57" s="70" t="n"/>
      <c r="D57" s="70" t="n"/>
      <c r="E57" s="70" t="n"/>
      <c r="F57" s="70" t="n"/>
    </row>
    <row r="58" ht="20" customHeight="1">
      <c r="A58" s="69" t="n"/>
      <c r="B58" s="69" t="n"/>
      <c r="C58" s="69" t="n"/>
      <c r="D58" s="69" t="n"/>
      <c r="E58" s="69" t="n"/>
      <c r="F58" s="69" t="n"/>
    </row>
  </sheetData>
  <mergeCells count="17">
    <mergeCell ref="B13:C13"/>
    <mergeCell ref="B6:C6"/>
    <mergeCell ref="A49:F49"/>
    <mergeCell ref="B7:C7"/>
    <mergeCell ref="A1:G2"/>
    <mergeCell ref="B11:C11"/>
    <mergeCell ref="A24:E24"/>
    <mergeCell ref="B5:C5"/>
    <mergeCell ref="A4:D4"/>
    <mergeCell ref="B10:C10"/>
    <mergeCell ref="A39:D39"/>
    <mergeCell ref="A31:F31"/>
    <mergeCell ref="B14:C14"/>
    <mergeCell ref="A16:G16"/>
    <mergeCell ref="B9:C9"/>
    <mergeCell ref="B8:C8"/>
    <mergeCell ref="B12:C12"/>
  </mergeCells>
  <conditionalFormatting sqref="B9:C9">
    <cfRule type="expression" priority="1" dxfId="9">
      <formula>AND($B$9&lt;&gt;"",ISNUMBER($B$9),$B$9&lt;18.5)</formula>
    </cfRule>
    <cfRule type="expression" priority="2" dxfId="10">
      <formula>AND($B$9&lt;&gt;"",ISNUMBER($B$9),$B$9&gt;=18.5,$B$9&lt;25)</formula>
    </cfRule>
    <cfRule type="expression" priority="3" dxfId="11">
      <formula>AND($B$9&lt;&gt;"",ISNUMBER($B$9),$B$9&gt;=25,$B$9&lt;30)</formula>
    </cfRule>
    <cfRule type="expression" priority="4" dxfId="6">
      <formula>AND($B$9&lt;&gt;"",ISNUMBER($B$9),$B$9&gt;=30)</formula>
    </cfRule>
  </conditionalFormatting>
  <dataValidations count="3">
    <dataValidation sqref="B5" showDropDown="0" showInputMessage="0" showErrorMessage="0" allowBlank="1" type="list">
      <formula1>"O+,O-,A+,A-,B+,B-,AB+,AB-"</formula1>
    </dataValidation>
    <dataValidation sqref="B6" showDropDown="0" showInputMessage="0" showErrorMessage="0" allowBlank="1" type="list">
      <formula1>"Positivo (+),Negativo (-)"</formula1>
    </dataValidation>
    <dataValidation sqref="F51:F58" showDropDown="0" showInputMessage="0" showErrorMessage="0" allowBlank="1" type="list">
      <formula1>"Mensual,Cada 3 meses,Cada 6 meses,Anual,Según necesidad,De urgencias"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/>
  </sheetPr>
  <dimension ref="A1:G8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5" customWidth="1" min="3" max="3"/>
    <col width="3" customWidth="1" min="4" max="4"/>
    <col width="22" customWidth="1" min="5" max="5"/>
    <col width="32" customWidth="1" min="6" max="6"/>
    <col width="3" customWidth="1" min="7" max="7"/>
  </cols>
  <sheetData>
    <row r="1" ht="28" customHeight="1">
      <c r="A1" s="71" t="inlineStr">
        <is>
          <t>¡Bienvenido a SaludSV Pro!
Tu salud, organizada. Tu vida, protegida.</t>
        </is>
      </c>
    </row>
    <row r="2" ht="28" customHeight="1"/>
    <row r="3" ht="28" customHeight="1"/>
    <row r="4" ht="8" customHeight="1"/>
    <row r="5" ht="30" customHeight="1">
      <c r="B5" s="72" t="inlineStr">
        <is>
          <t xml:space="preserve">  CÓMO USAR CADA MÓDULO</t>
        </is>
      </c>
    </row>
    <row r="6" ht="4" customHeight="1"/>
    <row r="7" ht="26" customHeight="1">
      <c r="B7" s="73" t="inlineStr">
        <is>
          <t xml:space="preserve">  🏥 INICIO</t>
        </is>
      </c>
    </row>
    <row r="8" ht="20" customHeight="1">
      <c r="B8" s="74" t="inlineStr">
        <is>
          <t>Tu panel de control central.</t>
        </is>
      </c>
    </row>
    <row r="9" ht="18" customHeight="1">
      <c r="B9" s="75" t="inlineStr">
        <is>
          <t xml:space="preserve">    • Completa tus datos personales (nombre, sangre, seguro médico).</t>
        </is>
      </c>
    </row>
    <row r="10" ht="18" customHeight="1">
      <c r="B10" s="75" t="inlineStr">
        <is>
          <t xml:space="preserve">    • Revisa las alertas activas: próxima cita, medicamentos a refill.</t>
        </is>
      </c>
    </row>
    <row r="11" ht="18" customHeight="1">
      <c r="B11" s="75" t="inlineStr">
        <is>
          <t xml:space="preserve">    • Registra tus alergias conocidas y condiciones crónicas.</t>
        </is>
      </c>
    </row>
    <row r="12" ht="18" customHeight="1">
      <c r="B12" s="75" t="inlineStr">
        <is>
          <t xml:space="preserve">    • Es la primera hoja que verás al abrir el archivo.</t>
        </is>
      </c>
    </row>
    <row r="13" ht="4" customHeight="1"/>
    <row r="14" ht="26" customHeight="1">
      <c r="B14" s="76" t="inlineStr">
        <is>
          <t xml:space="preserve">  📅 CITAS MÉDICAS</t>
        </is>
      </c>
    </row>
    <row r="15" ht="20" customHeight="1">
      <c r="B15" s="74" t="inlineStr">
        <is>
          <t>Organiza todos tus turnos médicos en un solo lugar.</t>
        </is>
      </c>
    </row>
    <row r="16" ht="18" customHeight="1">
      <c r="B16" s="75" t="inlineStr">
        <is>
          <t xml:space="preserve">    • Agrega cada cita con fecha, hora, doctor y especialidad.</t>
        </is>
      </c>
    </row>
    <row r="17" ht="18" customHeight="1">
      <c r="B17" s="75" t="inlineStr">
        <is>
          <t xml:space="preserve">    • Los colores indican estado: verde=pendiente, gris=completada, rojo=cancelada.</t>
        </is>
      </c>
    </row>
    <row r="18" ht="18" customHeight="1">
      <c r="B18" s="75" t="inlineStr">
        <is>
          <t xml:space="preserve">    • La fila naranja indica citas de mañana o pasado mañana.</t>
        </is>
      </c>
    </row>
    <row r="19" ht="18" customHeight="1">
      <c r="B19" s="75" t="inlineStr">
        <is>
          <t xml:space="preserve">    • Usa la columna COSTO para llevar control de gastos médicos.</t>
        </is>
      </c>
    </row>
    <row r="20" ht="4" customHeight="1"/>
    <row r="21" ht="26" customHeight="1">
      <c r="B21" s="77" t="inlineStr">
        <is>
          <t xml:space="preserve">  💊 MEDICAMENTOS</t>
        </is>
      </c>
    </row>
    <row r="22" ht="20" customHeight="1">
      <c r="B22" s="74" t="inlineStr">
        <is>
          <t>Controla todos tus medicamentos, dosis y stock disponible.</t>
        </is>
      </c>
    </row>
    <row r="23" ht="18" customHeight="1">
      <c r="B23" s="75" t="inlineStr">
        <is>
          <t xml:space="preserve">    • Ingresa cantidad actual y alerta mínima de stock.</t>
        </is>
      </c>
    </row>
    <row r="24" ht="18" customHeight="1">
      <c r="B24" s="75" t="inlineStr">
        <is>
          <t xml:space="preserve">    • La columna DÍAS RESTANTES calcula automáticamente cuánto te queda.</t>
        </is>
      </c>
    </row>
    <row r="25" ht="18" customHeight="1">
      <c r="B25" s="75" t="inlineStr">
        <is>
          <t xml:space="preserve">    • Rojo urgente = ≤3 días | Naranja = ≤7 días | Verde = más de 14 días.</t>
        </is>
      </c>
    </row>
    <row r="26" ht="18" customHeight="1">
      <c r="B26" s="75" t="inlineStr">
        <is>
          <t xml:space="preserve">    • Usa el panel de horario (derecha) para organizar tus tomas diarias.</t>
        </is>
      </c>
    </row>
    <row r="27" ht="4" customHeight="1"/>
    <row r="28" ht="26" customHeight="1">
      <c r="B28" s="78" t="inlineStr">
        <is>
          <t xml:space="preserve">  💪 EJERCICIOS</t>
        </is>
      </c>
    </row>
    <row r="29" ht="20" customHeight="1">
      <c r="B29" s="74" t="inlineStr">
        <is>
          <t>Registra tu rutina de entrenamiento y haz seguimiento mensual.</t>
        </is>
      </c>
    </row>
    <row r="30" ht="18" customHeight="1">
      <c r="B30" s="75" t="inlineStr">
        <is>
          <t xml:space="preserve">    • Configura la fecha de inicio de tu rutina actual.</t>
        </is>
      </c>
    </row>
    <row r="31" ht="18" customHeight="1">
      <c r="B31" s="75" t="inlineStr">
        <is>
          <t xml:space="preserve">    • La celda de alerta te avisa cuando quedan ≤7 días para cambiarla.</t>
        </is>
      </c>
    </row>
    <row r="32" ht="18" customHeight="1">
      <c r="B32" s="75" t="inlineStr">
        <is>
          <t xml:space="preserve">    • Marca COMPLETADO HOY (✓ Sí / ✗ No) cada día de entrenamiento.</t>
        </is>
      </c>
    </row>
    <row r="33" ht="18" customHeight="1">
      <c r="B33" s="75" t="inlineStr">
        <is>
          <t xml:space="preserve">    • La tabla mensual te da una vista de calendario de tu adherencia.</t>
        </is>
      </c>
    </row>
    <row r="34" ht="4" customHeight="1"/>
    <row r="35" ht="26" customHeight="1">
      <c r="B35" s="79" t="inlineStr">
        <is>
          <t xml:space="preserve">  🥗 DIETA</t>
        </is>
      </c>
    </row>
    <row r="36" ht="20" customHeight="1">
      <c r="B36" s="74" t="inlineStr">
        <is>
          <t>Planifica tu alimentación semanal y consulta valores nutricionales.</t>
        </is>
      </c>
    </row>
    <row r="37" ht="18" customHeight="1">
      <c r="B37" s="75" t="inlineStr">
        <is>
          <t xml:space="preserve">    • Establece tus metas diarias de calorías, proteínas, carbos y grasas.</t>
        </is>
      </c>
    </row>
    <row r="38" ht="18" customHeight="1">
      <c r="B38" s="75" t="inlineStr">
        <is>
          <t xml:space="preserve">    • Llena el plan semanal de lunes a domingo con cada comida.</t>
        </is>
      </c>
    </row>
    <row r="39" ht="18" customHeight="1">
      <c r="B39" s="75" t="inlineStr">
        <is>
          <t xml:space="preserve">    • Registra tus vasos de agua diarios con el selector desplegable.</t>
        </is>
      </c>
    </row>
    <row r="40" ht="18" customHeight="1">
      <c r="B40" s="75" t="inlineStr">
        <is>
          <t xml:space="preserve">    • Consulta la tabla de 20 alimentos típicos salvadoreños a la derecha.</t>
        </is>
      </c>
    </row>
    <row r="41" ht="4" customHeight="1"/>
    <row r="42" ht="26" customHeight="1">
      <c r="B42" s="80" t="inlineStr">
        <is>
          <t xml:space="preserve">  📋 HISTORIAL</t>
        </is>
      </c>
    </row>
    <row r="43" ht="20" customHeight="1">
      <c r="B43" s="74" t="inlineStr">
        <is>
          <t>Tu expediente médico personal, listo para compartir con tu médico.</t>
        </is>
      </c>
    </row>
    <row r="44" ht="18" customHeight="1">
      <c r="B44" s="75" t="inlineStr">
        <is>
          <t xml:space="preserve">    • Ingresa peso, talla y el IMC se calcula automáticamente.</t>
        </is>
      </c>
    </row>
    <row r="45" ht="18" customHeight="1">
      <c r="B45" s="75" t="inlineStr">
        <is>
          <t xml:space="preserve">    • El color del IMC indica tu categoría OMS: azul/verde/amarillo/rojo.</t>
        </is>
      </c>
    </row>
    <row r="46" ht="18" customHeight="1">
      <c r="B46" s="75" t="inlineStr">
        <is>
          <t xml:space="preserve">    • Registra tus signos vitales mensualmente para ver tendencias.</t>
        </is>
      </c>
    </row>
    <row r="47" ht="18" customHeight="1">
      <c r="B47" s="75" t="inlineStr">
        <is>
          <t xml:space="preserve">    • Completa vacunas, cirugías y antecedentes familiares.</t>
        </is>
      </c>
    </row>
    <row r="48" ht="4" customHeight="1"/>
    <row r="49" ht="6" customHeight="1"/>
    <row r="50" ht="30" customHeight="1">
      <c r="B50" s="72" t="inlineStr">
        <is>
          <t xml:space="preserve">  GUÍA DE COLORES</t>
        </is>
      </c>
    </row>
    <row r="51" ht="4" customHeight="1"/>
    <row r="52" ht="22" customHeight="1">
      <c r="B52" s="81" t="inlineStr">
        <is>
          <t>MUESTRA</t>
        </is>
      </c>
      <c r="C52" s="81" t="inlineStr">
        <is>
          <t>SIGNIFICADO</t>
        </is>
      </c>
      <c r="E52" s="81" t="inlineStr">
        <is>
          <t>MÓDULO</t>
        </is>
      </c>
      <c r="F52" s="81" t="inlineStr">
        <is>
          <t>CUÁNDO SE ACTIVA</t>
        </is>
      </c>
    </row>
    <row r="53" ht="18" customHeight="1">
      <c r="B53" s="82" t="inlineStr">
        <is>
          <t>Verde claro</t>
        </is>
      </c>
      <c r="C53" s="83" t="inlineStr">
        <is>
          <t>Pendiente OK / Stock &gt;14 días</t>
        </is>
      </c>
      <c r="E53" s="46" t="inlineStr">
        <is>
          <t>Citas / Medicamentos</t>
        </is>
      </c>
      <c r="F53" s="83" t="inlineStr">
        <is>
          <t>Pendiente OK / Stock &gt;14 días</t>
        </is>
      </c>
    </row>
    <row r="54" ht="18" customHeight="1">
      <c r="B54" s="84" t="inlineStr">
        <is>
          <t>Rojo claro</t>
        </is>
      </c>
      <c r="C54" s="83" t="inlineStr">
        <is>
          <t>Cancelada / Refill urgente ≤3 días</t>
        </is>
      </c>
      <c r="E54" s="46" t="inlineStr">
        <is>
          <t>Citas / Medicamentos</t>
        </is>
      </c>
      <c r="F54" s="83" t="inlineStr">
        <is>
          <t>Cancelada / Refill urgente ≤3 días</t>
        </is>
      </c>
    </row>
    <row r="55" ht="18" customHeight="1">
      <c r="B55" s="85" t="inlineStr">
        <is>
          <t>Naranja claro</t>
        </is>
      </c>
      <c r="C55" s="83" t="inlineStr">
        <is>
          <t>Cita inminente / Stock ≤7 días</t>
        </is>
      </c>
      <c r="E55" s="46" t="inlineStr">
        <is>
          <t>Citas / Medicamentos</t>
        </is>
      </c>
      <c r="F55" s="83" t="inlineStr">
        <is>
          <t>Cita inminente / Stock ≤7 días</t>
        </is>
      </c>
    </row>
    <row r="56" ht="18" customHeight="1">
      <c r="B56" s="86" t="inlineStr">
        <is>
          <t>Amarillo claro</t>
        </is>
      </c>
      <c r="C56" s="83" t="inlineStr">
        <is>
          <t>Cita hoy / Stock ≤14 días</t>
        </is>
      </c>
      <c r="E56" s="46" t="inlineStr">
        <is>
          <t>Citas / Medicamentos</t>
        </is>
      </c>
      <c r="F56" s="83" t="inlineStr">
        <is>
          <t>Cita hoy / Stock ≤14 días</t>
        </is>
      </c>
    </row>
    <row r="57" ht="18" customHeight="1">
      <c r="B57" s="87" t="inlineStr">
        <is>
          <t>Gris claro</t>
        </is>
      </c>
      <c r="C57" s="83" t="inlineStr">
        <is>
          <t>Completada</t>
        </is>
      </c>
      <c r="E57" s="46" t="inlineStr">
        <is>
          <t>Citas</t>
        </is>
      </c>
      <c r="F57" s="83" t="inlineStr">
        <is>
          <t>Completada</t>
        </is>
      </c>
    </row>
    <row r="58" ht="18" customHeight="1">
      <c r="B58" s="88" t="inlineStr">
        <is>
          <t>Rojo intenso</t>
        </is>
      </c>
      <c r="C58" s="83" t="inlineStr">
        <is>
          <t>Sin stock</t>
        </is>
      </c>
      <c r="E58" s="46" t="inlineStr">
        <is>
          <t>Medicamentos</t>
        </is>
      </c>
      <c r="F58" s="83" t="inlineStr">
        <is>
          <t>Sin stock</t>
        </is>
      </c>
    </row>
    <row r="59" ht="18" customHeight="1">
      <c r="B59" s="89" t="inlineStr">
        <is>
          <t>Azul claro</t>
        </is>
      </c>
      <c r="C59" s="83" t="inlineStr">
        <is>
          <t>Bajo peso (&lt;18.5)</t>
        </is>
      </c>
      <c r="E59" s="46" t="inlineStr">
        <is>
          <t>Historial (IMC)</t>
        </is>
      </c>
      <c r="F59" s="83" t="inlineStr">
        <is>
          <t>Bajo peso (&lt;18.5)</t>
        </is>
      </c>
    </row>
    <row r="60" ht="18" customHeight="1">
      <c r="B60" s="82" t="inlineStr">
        <is>
          <t>Verde (IMC)</t>
        </is>
      </c>
      <c r="C60" s="83" t="inlineStr">
        <is>
          <t>Normal (18.5–24.9)</t>
        </is>
      </c>
      <c r="E60" s="46" t="inlineStr">
        <is>
          <t>Historial (IMC)</t>
        </is>
      </c>
      <c r="F60" s="83" t="inlineStr">
        <is>
          <t>Normal (18.5–24.9)</t>
        </is>
      </c>
    </row>
    <row r="61" ht="18" customHeight="1">
      <c r="B61" s="86" t="inlineStr">
        <is>
          <t>Amarillo (IMC)</t>
        </is>
      </c>
      <c r="C61" s="83" t="inlineStr">
        <is>
          <t>Sobrepeso (25–29.9)</t>
        </is>
      </c>
      <c r="E61" s="46" t="inlineStr">
        <is>
          <t>Historial (IMC)</t>
        </is>
      </c>
      <c r="F61" s="83" t="inlineStr">
        <is>
          <t>Sobrepeso (25–29.9)</t>
        </is>
      </c>
    </row>
    <row r="62" ht="18" customHeight="1">
      <c r="B62" s="84" t="inlineStr">
        <is>
          <t>Rojo (IMC)</t>
        </is>
      </c>
      <c r="C62" s="83" t="inlineStr">
        <is>
          <t>Obesidad (≥30)</t>
        </is>
      </c>
      <c r="E62" s="46" t="inlineStr">
        <is>
          <t>Historial (IMC)</t>
        </is>
      </c>
      <c r="F62" s="83" t="inlineStr">
        <is>
          <t>Obesidad (≥30)</t>
        </is>
      </c>
    </row>
    <row r="63" ht="18" customHeight="1">
      <c r="B63" s="90" t="inlineStr">
        <is>
          <t>Amarillo (alertas)</t>
        </is>
      </c>
      <c r="C63" s="83" t="inlineStr">
        <is>
          <t>Alertas activas en el dashboard</t>
        </is>
      </c>
      <c r="E63" s="46" t="inlineStr">
        <is>
          <t>INICIO</t>
        </is>
      </c>
      <c r="F63" s="83" t="inlineStr">
        <is>
          <t>Alertas activas en el dashboard</t>
        </is>
      </c>
    </row>
    <row r="64" ht="8" customHeight="1"/>
    <row r="65" ht="30" customHeight="1">
      <c r="B65" s="91" t="inlineStr">
        <is>
          <t xml:space="preserve">  CÓMO AGREGAR CITAS A GOOGLE CALENDAR</t>
        </is>
      </c>
    </row>
    <row r="66" ht="4" customHeight="1"/>
    <row r="67" ht="30" customHeight="1">
      <c r="B67" s="92" t="inlineStr">
        <is>
          <t>1</t>
        </is>
      </c>
      <c r="C67" s="43" t="inlineStr">
        <is>
          <t>Abre la carpeta "calendario/" que se generó junto a este archivo Excel.</t>
        </is>
      </c>
    </row>
    <row r="68" ht="30" customHeight="1">
      <c r="B68" s="92" t="inlineStr">
        <is>
          <t>2</t>
        </is>
      </c>
      <c r="C68" s="42" t="inlineStr">
        <is>
          <t>Busca el archivo .ics de tu cita  (ej: cita_001.ics, cita_002.ics…).</t>
        </is>
      </c>
    </row>
    <row r="69" ht="30" customHeight="1">
      <c r="B69" s="92" t="inlineStr">
        <is>
          <t>3</t>
        </is>
      </c>
      <c r="C69" s="43" t="inlineStr">
        <is>
          <t>Haz doble clic en el archivo — Google Calendar o Outlook se abrirá automáticamente.</t>
        </is>
      </c>
    </row>
    <row r="70" ht="30" customHeight="1">
      <c r="B70" s="92" t="inlineStr">
        <is>
          <t>4</t>
        </is>
      </c>
      <c r="C70" s="42" t="inlineStr">
        <is>
          <t>Confirma la importación haciendo clic en "Guardar" o "Aceptar".</t>
        </is>
      </c>
    </row>
    <row r="71" ht="30" customHeight="1">
      <c r="B71" s="92" t="inlineStr">
        <is>
          <t>5</t>
        </is>
      </c>
      <c r="C71" s="43" t="inlineStr">
        <is>
          <t>El evento incluye 2 recordatorios automáticos: 1 día antes y 2 horas antes de la cita.</t>
        </is>
      </c>
    </row>
    <row r="72" ht="8" customHeight="1"/>
    <row r="73" ht="30" customHeight="1">
      <c r="B73" s="93" t="inlineStr">
        <is>
          <t xml:space="preserve">  RECOMENDACIONES DE USO</t>
        </is>
      </c>
    </row>
    <row r="74" ht="24" customHeight="1">
      <c r="B74" s="94" t="inlineStr">
        <is>
          <t xml:space="preserve">  • Actualiza tus datos cada semana (preferiblemente el domingo).</t>
        </is>
      </c>
    </row>
    <row r="75" ht="24" customHeight="1">
      <c r="B75" s="95" t="inlineStr">
        <is>
          <t xml:space="preserve">  • Lleva el archivo en una USB o Google Drive para acceder desde cualquier PC.</t>
        </is>
      </c>
    </row>
    <row r="76" ht="24" customHeight="1">
      <c r="B76" s="95" t="inlineStr">
        <is>
          <t xml:space="preserve">  • Comparte el historial clínico con tu médico en cada consulta.</t>
        </is>
      </c>
    </row>
    <row r="77" ht="24" customHeight="1">
      <c r="B77" s="95" t="inlineStr">
        <is>
          <t xml:space="preserve">  • Haz una copia de seguridad con la fecha en el nombre: SaludSV_Pro_[MES_AÑO].xlsx</t>
        </is>
      </c>
    </row>
    <row r="78" ht="24" customHeight="1">
      <c r="B78" s="96" t="inlineStr">
        <is>
          <t xml:space="preserve">  • Cambia tu rutina de ejercicios cada 6 semanas para mejores resultados.</t>
        </is>
      </c>
    </row>
    <row r="79" ht="10" customHeight="1"/>
    <row r="80" ht="24" customHeight="1">
      <c r="B80" s="97" t="inlineStr">
        <is>
          <t>SaludSV Pro v1.0  |  Desarrollado con Claude AI  |  El Salvador 2026</t>
        </is>
      </c>
    </row>
    <row r="81" ht="20" customHeight="1">
      <c r="B81" s="98" t="inlineStr">
        <is>
          <t>Generado como proyecto del Bootcamp de Claude  |  Anthropic  |  cubo ai 2026</t>
        </is>
      </c>
    </row>
  </sheetData>
  <mergeCells count="53">
    <mergeCell ref="C70:F70"/>
    <mergeCell ref="B75:F75"/>
    <mergeCell ref="B7:F7"/>
    <mergeCell ref="B47:F47"/>
    <mergeCell ref="B16:F16"/>
    <mergeCell ref="B81:F81"/>
    <mergeCell ref="B25:F25"/>
    <mergeCell ref="B31:F31"/>
    <mergeCell ref="B46:F46"/>
    <mergeCell ref="C67:F67"/>
    <mergeCell ref="B22:F22"/>
    <mergeCell ref="B18:F18"/>
    <mergeCell ref="B21:F21"/>
    <mergeCell ref="B43:F43"/>
    <mergeCell ref="B12:F12"/>
    <mergeCell ref="B39:F39"/>
    <mergeCell ref="B77:F77"/>
    <mergeCell ref="C69:F69"/>
    <mergeCell ref="B11:F11"/>
    <mergeCell ref="B42:F42"/>
    <mergeCell ref="C68:F68"/>
    <mergeCell ref="B23:F23"/>
    <mergeCell ref="B14:F14"/>
    <mergeCell ref="B8:F8"/>
    <mergeCell ref="B17:F17"/>
    <mergeCell ref="B44:F44"/>
    <mergeCell ref="A1:G3"/>
    <mergeCell ref="B29:F29"/>
    <mergeCell ref="B73:F73"/>
    <mergeCell ref="B38:F38"/>
    <mergeCell ref="B78:F78"/>
    <mergeCell ref="B10:F10"/>
    <mergeCell ref="B28:F28"/>
    <mergeCell ref="B19:F19"/>
    <mergeCell ref="B37:F37"/>
    <mergeCell ref="C71:F71"/>
    <mergeCell ref="B40:F40"/>
    <mergeCell ref="B9:F9"/>
    <mergeCell ref="B74:F74"/>
    <mergeCell ref="B30:F30"/>
    <mergeCell ref="B65:F65"/>
    <mergeCell ref="B24:F24"/>
    <mergeCell ref="B15:F15"/>
    <mergeCell ref="B33:F33"/>
    <mergeCell ref="B5:F5"/>
    <mergeCell ref="B80:F80"/>
    <mergeCell ref="B76:F76"/>
    <mergeCell ref="B45:F45"/>
    <mergeCell ref="B36:F36"/>
    <mergeCell ref="B32:F32"/>
    <mergeCell ref="B50:F50"/>
    <mergeCell ref="B26:F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2026-06-06T14:47:47Z</dcterms:created>
  <dcterms:modified xsi:type="dcterms:W3CDTF">2026-06-06T14:47:48Z</dcterms:modified>
</cp:coreProperties>
</file>